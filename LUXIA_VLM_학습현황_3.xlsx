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로그" sheetId="1" state="visible" r:id="rId1"/>
    <sheet xmlns:r="http://schemas.openxmlformats.org/officeDocument/2006/relationships" name="컬럼가이드" sheetId="2" state="visible" r:id="rId2"/>
    <sheet xmlns:r="http://schemas.openxmlformats.org/officeDocument/2006/relationships" name="요약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2937"/>
      <sz val="11"/>
    </font>
    <font>
      <name val="Arial"/>
      <charset val="1"/>
      <family val="2"/>
      <b val="1"/>
      <color rgb="FF1F2937"/>
      <sz val="11"/>
    </font>
    <font>
      <name val="Calibri"/>
      <charset val="1"/>
      <family val="2"/>
      <b val="1"/>
      <sz val="11"/>
    </font>
    <font>
      <name val="Arial"/>
      <charset val="1"/>
      <family val="2"/>
      <b val="1"/>
      <color rgb="FF333333"/>
      <sz val="10"/>
    </font>
    <font>
      <name val="Noto Sans CJK SC"/>
      <charset val="1"/>
      <family val="2"/>
      <b val="1"/>
      <color rgb="FF333333"/>
      <sz val="10"/>
    </font>
    <font>
      <name val="Noto Sans CJK SC"/>
      <family val="2"/>
      <b val="1"/>
      <color rgb="FF333333"/>
      <sz val="10"/>
    </font>
    <font>
      <name val="Arial"/>
      <charset val="1"/>
      <family val="2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Arial"/>
      <charset val="1"/>
      <family val="2"/>
      <color rgb="FF000000"/>
      <sz val="9"/>
    </font>
    <font>
      <name val="Calibri"/>
      <charset val="1"/>
      <family val="2"/>
      <color rgb="FF000000"/>
      <sz val="11"/>
    </font>
    <font>
      <name val="Arial"/>
      <charset val="1"/>
      <family val="0"/>
      <sz val="10"/>
    </font>
    <font>
      <name val="Arial"/>
      <charset val="1"/>
      <family val="2"/>
      <b val="1"/>
      <color rgb="FF1F3864"/>
      <sz val="10"/>
    </font>
    <font>
      <name val="Arial"/>
      <charset val="1"/>
      <family val="2"/>
      <color rgb="FF000000"/>
      <sz val="10"/>
    </font>
    <font>
      <name val="Noto Sans CJK SC"/>
      <family val="2"/>
      <color rgb="FF000000"/>
      <sz val="10"/>
    </font>
    <font>
      <name val="Noto Sans CJK SC"/>
      <charset val="1"/>
      <family val="2"/>
      <b val="1"/>
      <color rgb="FF1F3864"/>
      <sz val="10"/>
    </font>
    <font>
      <name val="Noto Sans CJK SC"/>
      <charset val="1"/>
      <family val="2"/>
      <color rgb="FF000000"/>
      <sz val="10"/>
    </font>
    <font>
      <name val="Noto Sans CJK SC"/>
      <family val="2"/>
      <b val="1"/>
      <color rgb="FF1F3864"/>
      <sz val="10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b val="1"/>
      <color rgb="FFC55A11"/>
      <sz val="10"/>
    </font>
    <font>
      <name val="Arial"/>
      <charset val="1"/>
      <family val="2"/>
      <color rgb="FF595959"/>
      <sz val="9"/>
    </font>
    <font>
      <name val="Noto Sans CJK SC"/>
      <family val="2"/>
      <color rgb="FF595959"/>
      <sz val="9"/>
    </font>
  </fonts>
  <fills count="7">
    <fill>
      <patternFill/>
    </fill>
    <fill>
      <patternFill patternType="gray125"/>
    </fill>
    <fill>
      <patternFill patternType="solid">
        <fgColor rgb="FFE8EAED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EFF5EF"/>
        <bgColor rgb="FFF2F2F2"/>
      </patternFill>
    </fill>
    <fill>
      <patternFill patternType="solid">
        <fgColor rgb="FFFFF7E6"/>
        <bgColor rgb="FFF5F5F5"/>
      </patternFill>
    </fill>
    <fill>
      <patternFill patternType="solid">
        <fgColor rgb="FFF2F2F2"/>
        <bgColor rgb="FFF5F5F5"/>
      </patternFill>
    </fill>
  </fills>
  <borders count="1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 wrapText="1"/>
    </xf>
    <xf numFmtId="0" fontId="4" fillId="2" borderId="2" applyAlignment="1" pivotButton="0" quotePrefix="0" xfId="0">
      <alignment horizontal="general" vertical="bottom" wrapText="1"/>
    </xf>
    <xf numFmtId="0" fontId="5" fillId="2" borderId="2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3" applyAlignment="1" pivotButton="0" quotePrefix="0" xfId="0">
      <alignment horizontal="general" vertical="bottom" wrapText="1"/>
    </xf>
    <xf numFmtId="0" fontId="8" fillId="3" borderId="4" applyAlignment="1" pivotButton="0" quotePrefix="0" xfId="0">
      <alignment horizontal="general" vertical="bottom" wrapText="1"/>
    </xf>
    <xf numFmtId="0" fontId="7" fillId="3" borderId="4" applyAlignment="1" pivotButton="0" quotePrefix="0" xfId="0">
      <alignment horizontal="general" vertical="bottom" wrapText="1"/>
    </xf>
    <xf numFmtId="0" fontId="8" fillId="3" borderId="5" applyAlignment="1" pivotButton="0" quotePrefix="0" xfId="0">
      <alignment horizontal="general" vertical="bottom" wrapText="1"/>
    </xf>
    <xf numFmtId="0" fontId="7" fillId="3" borderId="5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10" fillId="0" borderId="3" applyAlignment="1" pivotButton="0" quotePrefix="0" xfId="0">
      <alignment horizontal="general" vertical="bottom" wrapText="1"/>
    </xf>
    <xf numFmtId="164" fontId="10" fillId="0" borderId="4" applyAlignment="1" pivotButton="0" quotePrefix="0" xfId="0">
      <alignment horizontal="general" vertical="bottom" wrapText="1"/>
    </xf>
    <xf numFmtId="0" fontId="11" fillId="0" borderId="4" applyAlignment="1" pivotButton="0" quotePrefix="0" xfId="0">
      <alignment horizontal="general" vertical="bottom" wrapText="1"/>
    </xf>
    <xf numFmtId="0" fontId="11" fillId="4" borderId="4" applyAlignment="1" pivotButton="0" quotePrefix="0" xfId="0">
      <alignment horizontal="general" vertical="bottom" wrapText="1"/>
    </xf>
    <xf numFmtId="0" fontId="10" fillId="0" borderId="4" applyAlignment="1" pivotButton="0" quotePrefix="0" xfId="0">
      <alignment horizontal="general" vertical="bottom" wrapText="1"/>
    </xf>
    <xf numFmtId="0" fontId="11" fillId="0" borderId="4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4" applyAlignment="1" pivotButton="0" quotePrefix="0" xfId="0">
      <alignment horizontal="general" vertical="bottom" wrapText="1"/>
    </xf>
    <xf numFmtId="0" fontId="13" fillId="0" borderId="7" applyAlignment="1" pivotButton="0" quotePrefix="0" xfId="0">
      <alignment horizontal="general" vertical="bottom"/>
    </xf>
    <xf numFmtId="0" fontId="11" fillId="5" borderId="4" applyAlignment="1" pivotButton="0" quotePrefix="0" xfId="0">
      <alignment horizontal="general" vertical="bottom" wrapText="1"/>
    </xf>
    <xf numFmtId="11" fontId="15" fillId="0" borderId="4" applyAlignment="1" pivotButton="0" quotePrefix="0" xfId="0">
      <alignment horizontal="general" vertical="bottom" wrapText="1"/>
    </xf>
    <xf numFmtId="0" fontId="10" fillId="0" borderId="4" applyAlignment="1" pivotButton="0" quotePrefix="0" xfId="0">
      <alignment horizontal="general" vertical="bottom" wrapText="1"/>
    </xf>
    <xf numFmtId="0" fontId="13" fillId="0" borderId="7" applyAlignment="1" pivotButton="0" quotePrefix="0" xfId="0">
      <alignment horizontal="general" vertical="bottom" wrapText="1"/>
    </xf>
    <xf numFmtId="0" fontId="15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2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bottom"/>
    </xf>
    <xf numFmtId="0" fontId="13" fillId="0" borderId="8" applyAlignment="1" pivotButton="0" quotePrefix="0" xfId="0">
      <alignment horizontal="general" vertical="bottom"/>
    </xf>
    <xf numFmtId="0" fontId="13" fillId="0" borderId="9" applyAlignment="1" pivotButton="0" quotePrefix="0" xfId="0">
      <alignment horizontal="general" vertical="bottom"/>
    </xf>
    <xf numFmtId="0" fontId="4" fillId="2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top" wrapText="1"/>
    </xf>
    <xf numFmtId="0" fontId="17" fillId="0" borderId="9" applyAlignment="1" pivotButton="0" quotePrefix="0" xfId="0">
      <alignment horizontal="general" vertical="top" wrapText="1"/>
    </xf>
    <xf numFmtId="0" fontId="19" fillId="0" borderId="9" applyAlignment="1" pivotButton="0" quotePrefix="0" xfId="0">
      <alignment horizontal="general" vertical="top" wrapText="1"/>
    </xf>
    <xf numFmtId="0" fontId="20" fillId="0" borderId="9" applyAlignment="1" pivotButton="0" quotePrefix="0" xfId="0">
      <alignment horizontal="general" vertical="top" wrapText="1"/>
    </xf>
    <xf numFmtId="0" fontId="22" fillId="0" borderId="9" applyAlignment="1" pivotButton="0" quotePrefix="0" xfId="0">
      <alignment horizontal="general" vertical="bottom"/>
    </xf>
    <xf numFmtId="0" fontId="17" fillId="0" borderId="9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 wrapText="1"/>
    </xf>
    <xf numFmtId="0" fontId="0" fillId="0" borderId="12" pivotButton="0" quotePrefix="0" xfId="0"/>
    <xf numFmtId="0" fontId="0" fillId="0" borderId="2" pivotButton="0" quotePrefix="0" xfId="0"/>
    <xf numFmtId="0" fontId="4" fillId="2" borderId="2" applyAlignment="1" pivotButton="0" quotePrefix="0" xfId="0">
      <alignment horizontal="general" vertical="bottom" wrapText="1"/>
    </xf>
    <xf numFmtId="0" fontId="5" fillId="2" borderId="2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3" applyAlignment="1" pivotButton="0" quotePrefix="0" xfId="0">
      <alignment horizontal="general" vertical="bottom" wrapText="1"/>
    </xf>
    <xf numFmtId="0" fontId="8" fillId="3" borderId="4" applyAlignment="1" pivotButton="0" quotePrefix="0" xfId="0">
      <alignment horizontal="general" vertical="bottom" wrapText="1"/>
    </xf>
    <xf numFmtId="0" fontId="7" fillId="3" borderId="4" applyAlignment="1" pivotButton="0" quotePrefix="0" xfId="0">
      <alignment horizontal="general" vertical="bottom" wrapText="1"/>
    </xf>
    <xf numFmtId="0" fontId="8" fillId="3" borderId="5" applyAlignment="1" pivotButton="0" quotePrefix="0" xfId="0">
      <alignment horizontal="general" vertical="bottom" wrapText="1"/>
    </xf>
    <xf numFmtId="0" fontId="7" fillId="3" borderId="5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10" fillId="0" borderId="3" applyAlignment="1" pivotButton="0" quotePrefix="0" xfId="0">
      <alignment horizontal="general" vertical="bottom" wrapText="1"/>
    </xf>
    <xf numFmtId="164" fontId="10" fillId="0" borderId="4" applyAlignment="1" pivotButton="0" quotePrefix="0" xfId="0">
      <alignment horizontal="general" vertical="bottom" wrapText="1"/>
    </xf>
    <xf numFmtId="0" fontId="11" fillId="0" borderId="4" applyAlignment="1" pivotButton="0" quotePrefix="0" xfId="0">
      <alignment horizontal="general" vertical="bottom" wrapText="1"/>
    </xf>
    <xf numFmtId="0" fontId="11" fillId="4" borderId="4" applyAlignment="1" pivotButton="0" quotePrefix="0" xfId="0">
      <alignment horizontal="general" vertical="bottom" wrapText="1"/>
    </xf>
    <xf numFmtId="0" fontId="10" fillId="0" borderId="4" applyAlignment="1" pivotButton="0" quotePrefix="0" xfId="0">
      <alignment horizontal="general" vertical="bottom" wrapText="1"/>
    </xf>
    <xf numFmtId="0" fontId="11" fillId="0" borderId="4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4" applyAlignment="1" pivotButton="0" quotePrefix="0" xfId="0">
      <alignment horizontal="general" vertical="bottom" wrapText="1"/>
    </xf>
    <xf numFmtId="0" fontId="13" fillId="0" borderId="7" applyAlignment="1" pivotButton="0" quotePrefix="0" xfId="0">
      <alignment horizontal="general" vertical="bottom"/>
    </xf>
    <xf numFmtId="0" fontId="11" fillId="5" borderId="4" applyAlignment="1" pivotButton="0" quotePrefix="0" xfId="0">
      <alignment horizontal="general" vertical="bottom" wrapText="1"/>
    </xf>
    <xf numFmtId="11" fontId="15" fillId="0" borderId="4" applyAlignment="1" pivotButton="0" quotePrefix="0" xfId="0">
      <alignment horizontal="general" vertical="bottom" wrapText="1"/>
    </xf>
    <xf numFmtId="0" fontId="13" fillId="0" borderId="7" applyAlignment="1" pivotButton="0" quotePrefix="0" xfId="0">
      <alignment horizontal="general" vertical="bottom" wrapText="1"/>
    </xf>
    <xf numFmtId="0" fontId="15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2" fillId="6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general" vertical="bottom"/>
    </xf>
    <xf numFmtId="0" fontId="13" fillId="0" borderId="8" applyAlignment="1" pivotButton="0" quotePrefix="0" xfId="0">
      <alignment horizontal="general" vertical="bottom"/>
    </xf>
    <xf numFmtId="0" fontId="13" fillId="0" borderId="9" applyAlignment="1" pivotButton="0" quotePrefix="0" xfId="0">
      <alignment horizontal="general" vertical="bottom"/>
    </xf>
    <xf numFmtId="0" fontId="4" fillId="2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top" wrapText="1"/>
    </xf>
    <xf numFmtId="0" fontId="17" fillId="0" borderId="9" applyAlignment="1" pivotButton="0" quotePrefix="0" xfId="0">
      <alignment horizontal="general" vertical="top" wrapText="1"/>
    </xf>
    <xf numFmtId="0" fontId="19" fillId="0" borderId="9" applyAlignment="1" pivotButton="0" quotePrefix="0" xfId="0">
      <alignment horizontal="general" vertical="top" wrapText="1"/>
    </xf>
    <xf numFmtId="0" fontId="20" fillId="0" borderId="9" applyAlignment="1" pivotButton="0" quotePrefix="0" xfId="0">
      <alignment horizontal="general" vertical="top" wrapText="1"/>
    </xf>
    <xf numFmtId="0" fontId="22" fillId="0" borderId="9" applyAlignment="1" pivotButton="0" quotePrefix="0" xfId="0">
      <alignment horizontal="general" vertical="bottom"/>
    </xf>
    <xf numFmtId="0" fontId="17" fillId="0" borderId="9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6"/>
      <rgbColor rgb="FFEFF5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ED"/>
      <rgbColor rgb="FFF2F2F2"/>
      <rgbColor rgb="FFFFFF99"/>
      <rgbColor rgb="FF99CCFF"/>
      <rgbColor rgb="FFFF99CC"/>
      <rgbColor rgb="FFCC99FF"/>
      <rgbColor rgb="FFE0E0E0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1F2937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U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C3" activeCellId="0" sqref="C3"/>
    </sheetView>
  </sheetViews>
  <sheetFormatPr baseColWidth="8" defaultColWidth="8.71484375" defaultRowHeight="14.25" zeroHeight="0" outlineLevelRow="0"/>
  <cols>
    <col width="10" customWidth="1" style="44" min="1" max="1"/>
    <col width="11" customWidth="1" style="44" min="2" max="2"/>
    <col width="30" customWidth="1" style="44" min="3" max="3"/>
    <col width="9" customWidth="1" style="44" min="4" max="4"/>
    <col width="18" customWidth="1" style="44" min="5" max="5"/>
    <col width="7" customWidth="1" style="44" min="6" max="6"/>
    <col width="16" customWidth="1" style="44" min="7" max="7"/>
    <col width="8" customWidth="1" style="44" min="8" max="8"/>
    <col width="10" customWidth="1" style="44" min="9" max="9"/>
    <col width="9" customWidth="1" style="44" min="10" max="10"/>
    <col width="7" customWidth="1" style="44" min="11" max="11"/>
    <col width="8" customWidth="1" style="44" min="12" max="12"/>
    <col width="9" customWidth="1" style="44" min="13" max="13"/>
    <col width="12" customWidth="1" style="44" min="14" max="14"/>
    <col width="10" customWidth="1" style="44" min="15" max="15"/>
    <col width="9" customWidth="1" style="44" min="16" max="16"/>
    <col width="10" customWidth="1" style="44" min="17" max="17"/>
    <col width="7" customWidth="1" style="44" min="18" max="18"/>
    <col width="6" customWidth="1" style="44" min="19" max="19"/>
    <col width="9" customWidth="1" style="44" min="20" max="22"/>
    <col width="14" customWidth="1" style="44" min="23" max="23"/>
    <col width="11" customWidth="1" style="44" min="24" max="24"/>
    <col width="12" customWidth="1" style="44" min="25" max="25"/>
    <col width="10" customWidth="1" style="44" min="26" max="26"/>
    <col width="9" customWidth="1" style="44" min="27" max="28"/>
    <col width="13" customWidth="1" style="44" min="29" max="29"/>
    <col width="10" customWidth="1" style="44" min="30" max="30"/>
    <col width="12" customWidth="1" style="44" min="31" max="31"/>
    <col width="9" customWidth="1" style="44" min="32" max="33"/>
    <col width="10" customWidth="1" style="44" min="34" max="35"/>
    <col width="8" customWidth="1" style="44" min="36" max="36"/>
    <col width="18" customWidth="1" style="44" min="37" max="37"/>
    <col width="30" customWidth="1" style="44" min="38" max="38"/>
    <col width="40" customWidth="1" style="44" min="39" max="39"/>
  </cols>
  <sheetData>
    <row r="1" ht="18" customHeight="1" s="45">
      <c r="A1" s="46" t="inlineStr">
        <is>
          <t>기본</t>
        </is>
      </c>
      <c r="B1" s="47" t="n"/>
      <c r="C1" s="47" t="n"/>
      <c r="D1" s="48" t="n"/>
      <c r="E1" s="49" t="inlineStr">
        <is>
          <t>모델</t>
        </is>
      </c>
      <c r="F1" s="48" t="n"/>
      <c r="G1" s="49" t="inlineStr">
        <is>
          <t>데이터</t>
        </is>
      </c>
      <c r="H1" s="48" t="n"/>
      <c r="I1" s="49" t="inlineStr">
        <is>
          <t>학습설정</t>
        </is>
      </c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8" t="n"/>
      <c r="T1" s="50" t="inlineStr">
        <is>
          <t>HW</t>
        </is>
      </c>
      <c r="U1" s="48" t="n"/>
      <c r="V1" s="49" t="inlineStr">
        <is>
          <t>결과</t>
        </is>
      </c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8" t="n"/>
      <c r="AG1" s="49" t="inlineStr">
        <is>
          <t>기타</t>
        </is>
      </c>
      <c r="AH1" s="47" t="n"/>
      <c r="AI1" s="48" t="n"/>
      <c r="AJ1" s="51" t="n"/>
      <c r="AK1" s="51" t="n"/>
      <c r="AL1" s="51" t="n"/>
      <c r="AN1" s="52" t="n"/>
      <c r="AO1" s="52" t="n"/>
      <c r="AP1" s="52" t="n"/>
      <c r="AQ1" s="52" t="n"/>
      <c r="AR1" s="52" t="n"/>
      <c r="AS1" s="52" t="n"/>
      <c r="AT1" s="52" t="n"/>
      <c r="AU1" s="52" t="n"/>
    </row>
    <row r="2" ht="30" customHeight="1" s="45">
      <c r="A2" s="53" t="inlineStr">
        <is>
          <t>exp_id</t>
        </is>
      </c>
      <c r="B2" s="54" t="inlineStr">
        <is>
          <t>날짜</t>
        </is>
      </c>
      <c r="C2" s="54" t="inlineStr">
        <is>
          <t>가설/목적</t>
        </is>
      </c>
      <c r="D2" s="54" t="inlineStr">
        <is>
          <t>상태</t>
        </is>
      </c>
      <c r="E2" s="54" t="inlineStr">
        <is>
          <t>베이스모델</t>
        </is>
      </c>
      <c r="F2" s="54" t="inlineStr">
        <is>
          <t>태스크</t>
        </is>
      </c>
      <c r="G2" s="54" t="inlineStr">
        <is>
          <t>학습데이터(구성)</t>
        </is>
      </c>
      <c r="H2" s="55" t="inlineStr">
        <is>
          <t>n_val</t>
        </is>
      </c>
      <c r="I2" s="55" t="inlineStr">
        <is>
          <t>tuner</t>
        </is>
      </c>
      <c r="J2" s="55" t="inlineStr">
        <is>
          <t>freeze(vit/aligner)</t>
        </is>
      </c>
      <c r="K2" s="55" t="inlineStr">
        <is>
          <t>LoRA대상수</t>
        </is>
      </c>
      <c r="L2" s="55" t="inlineStr">
        <is>
          <t>lr</t>
        </is>
      </c>
      <c r="M2" s="55" t="inlineStr">
        <is>
          <t>scheduler</t>
        </is>
      </c>
      <c r="N2" s="55" t="inlineStr">
        <is>
          <t>epochs</t>
        </is>
      </c>
      <c r="O2" s="55" t="inlineStr">
        <is>
          <t>batch×accum</t>
        </is>
      </c>
      <c r="P2" s="55" t="inlineStr">
        <is>
          <t>max_length</t>
        </is>
      </c>
      <c r="Q2" s="55" t="inlineStr">
        <is>
          <t>max_px</t>
        </is>
      </c>
      <c r="R2" s="55" t="inlineStr">
        <is>
          <t>grad_ckpt</t>
        </is>
      </c>
      <c r="S2" s="55" t="inlineStr">
        <is>
          <t>group_by_len</t>
        </is>
      </c>
      <c r="T2" s="55" t="inlineStr">
        <is>
          <t>GPU</t>
        </is>
      </c>
      <c r="U2" s="54" t="inlineStr">
        <is>
          <t>소요시간</t>
        </is>
      </c>
      <c r="V2" s="55" t="inlineStr">
        <is>
          <t>eval_loss</t>
        </is>
      </c>
      <c r="W2" s="54" t="inlineStr">
        <is>
          <t>평가셋</t>
        </is>
      </c>
      <c r="X2" s="54" t="inlineStr">
        <is>
          <t>평가건수</t>
        </is>
      </c>
      <c r="Y2" s="55" t="inlineStr">
        <is>
          <t>CER_중앙값</t>
        </is>
      </c>
      <c r="Z2" s="55" t="inlineStr">
        <is>
          <t>CER_평균(참고)</t>
        </is>
      </c>
      <c r="AA2" s="55" t="inlineStr">
        <is>
          <t>CER&gt;1(폭주)</t>
        </is>
      </c>
      <c r="AB2" s="55" t="inlineStr">
        <is>
          <t>TEDS</t>
        </is>
      </c>
      <c r="AC2" s="54" t="inlineStr">
        <is>
          <t>완전일치%</t>
        </is>
      </c>
      <c r="AD2" s="55" t="inlineStr">
        <is>
          <t>AVG_매크로</t>
        </is>
      </c>
      <c r="AE2" s="55" t="inlineStr">
        <is>
          <t>AVG_마이크로</t>
        </is>
      </c>
      <c r="AF2" s="55" t="inlineStr">
        <is>
          <t>base대비Δ</t>
        </is>
      </c>
      <c r="AG2" s="55" t="inlineStr">
        <is>
          <t>checkpoint경로</t>
        </is>
      </c>
      <c r="AH2" s="54" t="inlineStr">
        <is>
          <t>평가결과_json</t>
        </is>
      </c>
      <c r="AI2" s="54" t="inlineStr">
        <is>
          <t>메모</t>
        </is>
      </c>
      <c r="AJ2" s="56" t="n"/>
      <c r="AK2" s="56" t="n"/>
      <c r="AL2" s="57" t="n"/>
      <c r="AM2" s="56" t="n"/>
      <c r="AN2" s="58" t="n"/>
      <c r="AO2" s="58" t="n"/>
      <c r="AP2" s="58" t="n"/>
      <c r="AQ2" s="58" t="n"/>
      <c r="AR2" s="58" t="n"/>
      <c r="AS2" s="58" t="n"/>
      <c r="AT2" s="58" t="n"/>
      <c r="AU2" s="58" t="n"/>
    </row>
    <row r="3" ht="33.75" customHeight="1" s="45">
      <c r="A3" s="59" t="inlineStr">
        <is>
          <t>exp_001</t>
        </is>
      </c>
      <c r="B3" s="60" t="n">
        <v>46246</v>
      </c>
      <c r="C3" s="61" t="inlineStr">
        <is>
          <t>베이스 모델의 크롭 평가 기준선 확보 (파인튜닝이 넘어야 할 도달 목표선)</t>
        </is>
      </c>
      <c r="D3" s="62" t="inlineStr">
        <is>
          <t>완료</t>
        </is>
      </c>
      <c r="E3" s="63" t="inlineStr">
        <is>
          <t>베이스 모델 (luxia-document-parsing-high, 사내 서빙)</t>
        </is>
      </c>
      <c r="F3" s="63" t="inlineStr">
        <is>
          <t>VLM(측정만)</t>
        </is>
      </c>
      <c r="G3" s="63" t="inlineStr">
        <is>
          <t>— (측정만)</t>
        </is>
      </c>
      <c r="H3" s="64" t="inlineStr">
        <is>
          <t xml:space="preserve">　</t>
        </is>
      </c>
      <c r="I3" s="64" t="inlineStr">
        <is>
          <t xml:space="preserve">　</t>
        </is>
      </c>
      <c r="J3" s="64" t="inlineStr">
        <is>
          <t xml:space="preserve">　</t>
        </is>
      </c>
      <c r="K3" s="64" t="inlineStr">
        <is>
          <t xml:space="preserve">　</t>
        </is>
      </c>
      <c r="L3" s="64" t="inlineStr">
        <is>
          <t xml:space="preserve">　</t>
        </is>
      </c>
      <c r="M3" s="64" t="inlineStr">
        <is>
          <t xml:space="preserve">　</t>
        </is>
      </c>
      <c r="N3" s="64" t="inlineStr">
        <is>
          <t xml:space="preserve">　</t>
        </is>
      </c>
      <c r="O3" s="64" t="inlineStr">
        <is>
          <t xml:space="preserve">　</t>
        </is>
      </c>
      <c r="P3" s="64" t="inlineStr">
        <is>
          <t xml:space="preserve">　</t>
        </is>
      </c>
      <c r="Q3" s="64" t="inlineStr">
        <is>
          <t xml:space="preserve">　</t>
        </is>
      </c>
      <c r="R3" s="64" t="inlineStr">
        <is>
          <t xml:space="preserve">　</t>
        </is>
      </c>
      <c r="S3" s="64" t="inlineStr">
        <is>
          <t xml:space="preserve">　</t>
        </is>
      </c>
      <c r="T3" s="63" t="inlineStr">
        <is>
          <t>API 호출 (http://172.16.100.242:60100)</t>
        </is>
      </c>
      <c r="U3" s="63" t="inlineStr">
        <is>
          <t>4분</t>
        </is>
      </c>
      <c r="V3" s="64" t="inlineStr">
        <is>
          <t xml:space="preserve">　</t>
        </is>
      </c>
      <c r="W3" s="61" t="inlineStr">
        <is>
          <t>영수증 크롭 978 (text 881 / table 97) — 8장 제외본. transpose 2장(receipt34/67) · 손글씨(receipt73) · 정답누락(receipt53) · 검수제외(receipt36/38/81/91)</t>
        </is>
      </c>
      <c r="X3" s="63" t="n">
        <v>978</v>
      </c>
      <c r="Y3" s="63" t="n">
        <v>0</v>
      </c>
      <c r="Z3" s="63" t="n">
        <v>0.2009</v>
      </c>
      <c r="AA3" s="63" t="n">
        <v>45</v>
      </c>
      <c r="AB3" s="63" t="n">
        <v>0.7032</v>
      </c>
      <c r="AC3" s="63" t="n">
        <v>58.1</v>
      </c>
      <c r="AD3" s="63" t="n">
        <v>0.7706</v>
      </c>
      <c r="AE3" s="63" t="n">
        <v>0.8246</v>
      </c>
      <c r="AF3" s="64" t="inlineStr">
        <is>
          <t xml:space="preserve">　</t>
        </is>
      </c>
      <c r="AG3" s="63" t="inlineStr">
        <is>
          <t>/data/workspace/VLM/engine/model/luxia-document-parsing-high</t>
        </is>
      </c>
      <c r="AH3" s="63" t="inlineStr">
        <is>
          <t>receipt_data/review/eval_crops_luxia.json</t>
        </is>
      </c>
      <c r="AI3" s="63" t="inlineStr">
        <is>
          <t>enable_thinking=False로 호출(안 끄면 추론과정 뱉어 CER 붕괴). ▶8/13 평가셋 정제 후 재계산: 1,036건 CER 0.2276/TEDS 0.7031 → 978건 CER 0.2009/TEDS 0.7032. 정답 오독 22곳 정정 + 문서 8장 제외(사유는 평가데이터셋_수정_20260813.html). 평가셋 정답이 사람 검수본이 아니라 Document Studio 파서 출력 그대로였던 것이 원인 — collect_labeled.py 가 train 만 수집해 val/test 는 미검수 상태로 남아 있었다.</t>
        </is>
      </c>
      <c r="AJ3" s="65" t="n"/>
      <c r="AK3" s="65" t="n"/>
      <c r="AL3" s="65" t="n"/>
      <c r="AM3" s="65" t="n"/>
      <c r="AN3" s="66" t="n"/>
      <c r="AO3" s="66" t="n"/>
      <c r="AP3" s="66" t="n"/>
      <c r="AQ3" s="66" t="n"/>
      <c r="AR3" s="66" t="n"/>
      <c r="AS3" s="66" t="n"/>
      <c r="AT3" s="66" t="n"/>
      <c r="AU3" s="66" t="n"/>
    </row>
    <row r="4" ht="22.5" customHeight="1" s="45">
      <c r="A4" s="59" t="inlineStr">
        <is>
          <t>exp_003</t>
        </is>
      </c>
      <c r="B4" s="60" t="n">
        <v>46246</v>
      </c>
      <c r="C4" s="61" t="inlineStr">
        <is>
          <t>학습 데이터 태스크·출력형식을 평가에 맞추면(HTML 표+전사) TEDS/CER 개선되는가</t>
        </is>
      </c>
      <c r="D4" s="69" t="inlineStr">
        <is>
          <t>완료</t>
        </is>
      </c>
      <c r="E4" s="63" t="inlineStr">
        <is>
          <t>Qwen3.6-35B-A3B + LoRA (학습 모델)</t>
        </is>
      </c>
      <c r="F4" s="63" t="inlineStr">
        <is>
          <t>VLM</t>
        </is>
      </c>
      <c r="G4" s="63" t="inlineStr">
        <is>
          <t>upload_mix 4,496 (영수증 187×8=1,496 + 공공문서 3,000)</t>
        </is>
      </c>
      <c r="H4" s="63" t="n">
        <v>98</v>
      </c>
      <c r="I4" s="63" t="inlineStr">
        <is>
          <t>LoRA r=16 (α32, dropout0.05)</t>
        </is>
      </c>
      <c r="J4" s="63" t="inlineStr">
        <is>
          <t>vit=T / aligner=F</t>
        </is>
      </c>
      <c r="K4" s="63" t="n">
        <v>250</v>
      </c>
      <c r="L4" s="70" t="n">
        <v>0.0001</v>
      </c>
      <c r="M4" s="63" t="inlineStr">
        <is>
          <t>cosine (warmup0.05)</t>
        </is>
      </c>
      <c r="N4" s="63" t="n">
        <v>2</v>
      </c>
      <c r="O4" s="67" t="inlineStr">
        <is>
          <t>2×4</t>
        </is>
      </c>
      <c r="P4" s="63" t="n">
        <v>8192</v>
      </c>
      <c r="Q4" s="63" t="n">
        <v>1000000</v>
      </c>
      <c r="R4" s="63" t="inlineStr">
        <is>
          <t>off</t>
        </is>
      </c>
      <c r="S4" s="63">
        <f>FALSE()</f>
        <v/>
      </c>
      <c r="T4" s="63" t="inlineStr">
        <is>
          <t>H100 x2 (2,3)</t>
        </is>
      </c>
      <c r="U4" s="61" t="inlineStr">
        <is>
          <t>6시간 24분 (1,124 step, 20.51s/it)</t>
        </is>
      </c>
      <c r="V4" s="64" t="inlineStr">
        <is>
          <t>0.2294 (최종) — 0.1628→0.1851→0.2163→0.2294 단조상승</t>
        </is>
      </c>
      <c r="W4" s="64" t="inlineStr">
        <is>
          <t>영수증 크롭 978 (text 881 / table 97) — 8장 제외본. transpose 2장(receipt34/67) · 손글씨(receipt73) · 정답누락(receipt53) · 검수제외(receipt36/38/81/91) — exp_001과 동일</t>
        </is>
      </c>
      <c r="X4" s="64" t="n">
        <v>978</v>
      </c>
      <c r="Y4" s="64" t="n">
        <v>0</v>
      </c>
      <c r="Z4" s="64" t="n">
        <v>0.121</v>
      </c>
      <c r="AA4" s="64" t="n">
        <v>11</v>
      </c>
      <c r="AB4" s="64" t="n">
        <v>0.7286</v>
      </c>
      <c r="AC4" s="64" t="n">
        <v>58.5</v>
      </c>
      <c r="AD4" s="64" t="n">
        <v>0.8079</v>
      </c>
      <c r="AE4" s="64" t="n">
        <v>0.8715000000000001</v>
      </c>
      <c r="AF4" s="64" t="inlineStr">
        <is>
          <t>베이스(exp_001) 대비 CER 0.2009→0.1210(−39.8%) / TEDS 0.7032→0.7286(+3.6%) / 폭주 45→11건(−75.6%) / 완전일치 58.1→58.5. ※학습 전 출발점(Qwen 맨몸) 대비 CER 0.1689→0.1210(−28.4%) / TEDS 0.6628→0.7286(+9.9%)</t>
        </is>
      </c>
      <c r="AG4" s="63" t="inlineStr">
        <is>
          <t>ml/runs/upload-mix-qwen36 (최종 step1124). ckpt-1000도 측정: CER 0.1413 / TEDS 0.7188 / 완전일치 58.3%</t>
        </is>
      </c>
      <c r="AH4" s="64" t="inlineStr">
        <is>
          <t>receipt_data/review/eval_crops_exp003.json</t>
        </is>
      </c>
      <c r="AI4" s="63" t="inlineStr">
        <is>
          <t>★베이스 모델(exp_001) 전 지표 초과. 출력형식을 평가에 맞추면 개선된다는 점 확인. ①표 크롭 단위 학습은 0건(표는 영수증 페이지 마크다운 안에 1,424건 포함 = 학습셋의 31.7%)인데 크롭 평가 TEDS가 0.7031→0.7229로 상승 — 표 크롭을 가르쳐서가 아니라 출력형식을 평가에 맞춘 효과. ②CER 개선의 대부분은 폭주 57→20건 감소분. 그 폭주 중 상당수는 크롭 패딩(pad_ratio=0.02)이 이웃 줄을 끌어온 평가 아티팩트라, 모델이 "크롭=한 덩어리" 규약을 배운 효과가 섞여 있다. 중앙값은 두 모델 모두 0.0000. ③eval_loss는 0.1628→0.2294로 단조상승했으나 ckpt-1000(CER 0.1413)과 최종(0.1423)의 생성품질이 사실상 동일 — eval_loss(teacher-forcing)로 과적합을 판정한 것은 오판이었다. ④완전일치%는 57.1→57.4로 사실상 제자리 — "덜 크게 틀리게" 된 개선이다. (참고: 학습 전 출발점 Qwen 맨몸 대비로는 폭주 44→20, 완전일치 58.4→57.4로 −1.0p)</t>
        </is>
      </c>
      <c r="AJ4" s="68" t="n"/>
      <c r="AK4" s="68" t="n"/>
      <c r="AL4" s="68" t="n"/>
      <c r="AM4" s="71" t="n"/>
      <c r="AN4" s="66" t="n"/>
      <c r="AO4" s="66" t="n"/>
      <c r="AP4" s="66" t="n"/>
      <c r="AQ4" s="66" t="n"/>
      <c r="AR4" s="66" t="n"/>
      <c r="AS4" s="66" t="n"/>
      <c r="AT4" s="66" t="n"/>
      <c r="AU4" s="66" t="n"/>
    </row>
    <row r="5" ht="22.5" customHeight="1" s="45">
      <c r="A5" s="72" t="inlineStr">
        <is>
          <t>exp_004</t>
        </is>
      </c>
      <c r="B5" s="72" t="inlineStr">
        <is>
          <t>2026-08-13</t>
        </is>
      </c>
      <c r="C5" s="73" t="inlineStr">
        <is>
          <t>표 크롭 5,533건을 투입하면 TEDS가 exp_003(0.7286)을 넘는가. 데이터 구성만 변경</t>
        </is>
      </c>
      <c r="D5" s="74" t="inlineStr">
        <is>
          <t>진행</t>
        </is>
      </c>
      <c r="E5" s="72" t="inlineStr">
        <is>
          <t>Qwen3.6-35B-A3B + LoRA (학습 모델)</t>
        </is>
      </c>
      <c r="F5" s="75" t="inlineStr">
        <is>
          <t>VLM</t>
        </is>
      </c>
      <c r="G5" s="72" t="inlineStr">
        <is>
          <t>exp004c_260813 11,173행 — 표크롭 5,533(pubtabnet 5,461 + 영수증표 72) / 문서전사 2,499 / 페이지OCR 2,000 / 영수증텍스트크롭 820 / 영수증페이지 182(8→1회) / 공공문서·논문 139. 표 크롭 비중 49.5%</t>
        </is>
      </c>
      <c r="H5" s="75" t="n">
        <v>90</v>
      </c>
      <c r="I5" s="72" t="inlineStr">
        <is>
          <t>LoRA r=16 (α32, dropout0.05)</t>
        </is>
      </c>
      <c r="J5" s="72" t="inlineStr">
        <is>
          <t>vit=T / aligner=F</t>
        </is>
      </c>
      <c r="K5" s="73" t="n">
        <v>250</v>
      </c>
      <c r="L5" s="72" t="n">
        <v>0.0001</v>
      </c>
      <c r="M5" s="72" t="inlineStr">
        <is>
          <t>cosine (warmup0.05)</t>
        </is>
      </c>
      <c r="N5" s="75" t="n">
        <v>2</v>
      </c>
      <c r="O5" s="72" t="inlineStr">
        <is>
          <t>1×8 (유효8)</t>
        </is>
      </c>
      <c r="P5" s="73" t="n">
        <v>8192</v>
      </c>
      <c r="Q5" s="73" t="n">
        <v>1000000</v>
      </c>
      <c r="R5" s="72" t="inlineStr">
        <is>
          <t>off</t>
        </is>
      </c>
      <c r="S5" s="72" t="inlineStr">
        <is>
          <t>FALSE</t>
        </is>
      </c>
      <c r="T5" s="72" t="inlineStr">
        <is>
          <t>H100 x2 (2,3)</t>
        </is>
      </c>
      <c r="U5" s="73" t="inlineStr">
        <is>
          <t>진행중 (2,794 step, 34.1s/it → 약 26시간). 11:11 UTC 시작</t>
        </is>
      </c>
      <c r="V5" s="76" t="n"/>
      <c r="W5" s="73" t="inlineStr">
        <is>
          <t>영수증 크롭 978 (text 881 / table 97) — exp_001·003과 동일. 8장 제외본(transpose 2 · 손글씨 1 · 정답누락 1 · 검수제외 4)</t>
        </is>
      </c>
      <c r="X5" s="76" t="n"/>
      <c r="Y5" s="76" t="n"/>
      <c r="Z5" s="76" t="n"/>
      <c r="AA5" s="76" t="n"/>
      <c r="AB5" s="76" t="n"/>
      <c r="AC5" s="76" t="n"/>
      <c r="AD5" s="76" t="n"/>
      <c r="AE5" s="76" t="n"/>
      <c r="AF5" s="76" t="n"/>
      <c r="AG5" s="72" t="inlineStr">
        <is>
          <t>ml/runs/exp004-260813</t>
        </is>
      </c>
      <c r="AH5" s="73" t="inlineStr">
        <is>
          <t>학습 후 생성</t>
        </is>
      </c>
      <c r="AI5" s="72" t="inlineStr">
        <is>
          <t>데이터: kdy_260813 신규선별 투입. 표 크롭 5,533건(exp_003은 0건), 표 포함 비중 49.5%. 영수증 페이지 반복 8회→1회. KorIE 크롭 5,356은 표본검수 결과 11%가 라벨&lt;이미지 유형이라 제외. load_best_model_at_end=True + save/eval_steps=250 — exp_003은 best인 step250이 저장조차 안 됐다. ★H100 2장 제약으로 두 가지가 exp_003과 다르다. ① 시퀀스 5,000토큰 상한: 손실계산 logits(batch×seq×vocab151,936×4B)가 lm_head 가 있는 마지막 GPU 한 장에 몰려 75GB까지 찬다. 11,298행 중 125행(1.1%)을 제외했다. ② batch 2×4 → 1×8: 상한을 걸어도 실제 토큰이 추정보다 27% 많아 7.71GB를 요청하며 OOM(step 20). batch 를 절반으로 줄여 logits 를 반으로 낮췄다. 유효배치 8은 exp_003과 동일하나 step 당 forward/backward 가 4회→8회라 속도가 18.8→34.1s/it 로 떨어진다. gradient checkpointing 은 MoE 라우팅 불일치로 CheckpointError 가 나 쓸 수 없고, GPU 4장이면 두 조치 모두 불필요하다(4장에서는 장당 24~28GB로 여유 있게 붙었다). 나머지 하이퍼파라미터는 exp_003과 동일.</t>
        </is>
      </c>
      <c r="AJ5" s="76" t="n"/>
      <c r="AK5" s="76" t="n"/>
      <c r="AL5" s="76" t="n"/>
      <c r="AM5" s="76" t="n"/>
      <c r="AN5" s="76" t="n"/>
      <c r="AO5" s="76" t="n"/>
      <c r="AP5" s="76" t="n"/>
      <c r="AQ5" s="76" t="n"/>
      <c r="AR5" s="76" t="n"/>
      <c r="AS5" s="76" t="n"/>
      <c r="AT5" s="76" t="n"/>
      <c r="AU5" s="76" t="n"/>
    </row>
    <row r="6" ht="15" customHeight="1" s="45">
      <c r="A6" s="77" t="n"/>
      <c r="B6" s="68" t="n"/>
      <c r="C6" s="68" t="n"/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8" t="n"/>
      <c r="AK6" s="68" t="n"/>
      <c r="AL6" s="68" t="n"/>
      <c r="AM6" s="68" t="n"/>
      <c r="AN6" s="66" t="n"/>
      <c r="AO6" s="66" t="n"/>
      <c r="AP6" s="66" t="n"/>
      <c r="AQ6" s="66" t="n"/>
      <c r="AR6" s="66" t="n"/>
      <c r="AS6" s="66" t="n"/>
      <c r="AT6" s="66" t="n"/>
      <c r="AU6" s="66" t="n"/>
    </row>
    <row r="7" ht="15" customHeight="1" s="45">
      <c r="A7" s="77" t="n"/>
      <c r="B7" s="68" t="n"/>
      <c r="C7" s="68" t="n"/>
      <c r="D7" s="68" t="n"/>
      <c r="E7" s="68" t="n"/>
      <c r="F7" s="68" t="n"/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8" t="n"/>
      <c r="AK7" s="68" t="n"/>
      <c r="AL7" s="68" t="n"/>
      <c r="AM7" s="68" t="n"/>
      <c r="AN7" s="66" t="n"/>
      <c r="AO7" s="66" t="n"/>
      <c r="AP7" s="66" t="n"/>
      <c r="AQ7" s="66" t="n"/>
      <c r="AR7" s="66" t="n"/>
      <c r="AS7" s="66" t="n"/>
      <c r="AT7" s="66" t="n"/>
      <c r="AU7" s="66" t="n"/>
    </row>
    <row r="8" ht="15" customHeight="1" s="45">
      <c r="A8" s="77" t="n"/>
      <c r="B8" s="68" t="n"/>
      <c r="C8" s="68" t="n"/>
      <c r="D8" s="68" t="n"/>
      <c r="E8" s="68" t="n"/>
      <c r="F8" s="68" t="n"/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8" t="n"/>
      <c r="AK8" s="68" t="n"/>
      <c r="AL8" s="68" t="n"/>
      <c r="AM8" s="68" t="n"/>
      <c r="AN8" s="66" t="n"/>
      <c r="AO8" s="66" t="n"/>
      <c r="AP8" s="66" t="n"/>
      <c r="AQ8" s="66" t="n"/>
      <c r="AR8" s="66" t="n"/>
      <c r="AS8" s="66" t="n"/>
      <c r="AT8" s="66" t="n"/>
      <c r="AU8" s="66" t="n"/>
    </row>
    <row r="9" ht="15" customHeight="1" s="45">
      <c r="A9" s="77" t="n"/>
      <c r="B9" s="68" t="n"/>
      <c r="C9" s="68" t="n"/>
      <c r="D9" s="68" t="n"/>
      <c r="E9" s="68" t="n"/>
      <c r="F9" s="68" t="n"/>
      <c r="G9" s="6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8" t="n"/>
      <c r="AK9" s="68" t="n"/>
      <c r="AL9" s="68" t="n"/>
      <c r="AM9" s="68" t="n"/>
      <c r="AN9" s="66" t="n"/>
      <c r="AO9" s="66" t="n"/>
      <c r="AP9" s="66" t="n"/>
      <c r="AQ9" s="66" t="n"/>
      <c r="AR9" s="66" t="n"/>
      <c r="AS9" s="66" t="n"/>
      <c r="AT9" s="66" t="n"/>
      <c r="AU9" s="66" t="n"/>
    </row>
    <row r="10" ht="15" customHeight="1" s="45">
      <c r="A10" s="77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8" t="n"/>
      <c r="AK10" s="68" t="n"/>
      <c r="AL10" s="68" t="n"/>
      <c r="AM10" s="68" t="n"/>
      <c r="AN10" s="66" t="n"/>
      <c r="AO10" s="66" t="n"/>
      <c r="AP10" s="66" t="n"/>
      <c r="AQ10" s="66" t="n"/>
      <c r="AR10" s="66" t="n"/>
      <c r="AS10" s="66" t="n"/>
      <c r="AT10" s="66" t="n"/>
      <c r="AU10" s="66" t="n"/>
    </row>
    <row r="11" ht="15" customHeight="1" s="45">
      <c r="A11" s="77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8" t="n"/>
      <c r="AK11" s="68" t="n"/>
      <c r="AL11" s="68" t="n"/>
      <c r="AM11" s="68" t="n"/>
      <c r="AN11" s="66" t="n"/>
      <c r="AO11" s="66" t="n"/>
      <c r="AP11" s="66" t="n"/>
      <c r="AQ11" s="66" t="n"/>
      <c r="AR11" s="66" t="n"/>
      <c r="AS11" s="66" t="n"/>
      <c r="AT11" s="66" t="n"/>
      <c r="AU11" s="66" t="n"/>
    </row>
    <row r="12" ht="15" customHeight="1" s="45">
      <c r="A12" s="77" t="n"/>
      <c r="B12" s="68" t="n"/>
      <c r="C12" s="68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8" t="n"/>
      <c r="AK12" s="68" t="n"/>
      <c r="AL12" s="68" t="n"/>
      <c r="AM12" s="68" t="n"/>
      <c r="AN12" s="66" t="n"/>
      <c r="AO12" s="66" t="n"/>
      <c r="AP12" s="66" t="n"/>
      <c r="AQ12" s="66" t="n"/>
      <c r="AR12" s="66" t="n"/>
      <c r="AS12" s="66" t="n"/>
      <c r="AT12" s="66" t="n"/>
      <c r="AU12" s="66" t="n"/>
    </row>
    <row r="13" ht="15" customHeight="1" s="45">
      <c r="A13" s="77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8" t="n"/>
      <c r="AK13" s="68" t="n"/>
      <c r="AL13" s="68" t="n"/>
      <c r="AM13" s="68" t="n"/>
      <c r="AN13" s="66" t="n"/>
      <c r="AO13" s="66" t="n"/>
      <c r="AP13" s="66" t="n"/>
      <c r="AQ13" s="66" t="n"/>
      <c r="AR13" s="66" t="n"/>
      <c r="AS13" s="66" t="n"/>
      <c r="AT13" s="66" t="n"/>
      <c r="AU13" s="66" t="n"/>
    </row>
    <row r="14" ht="15" customHeight="1" s="45">
      <c r="A14" s="77" t="n"/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8" t="n"/>
      <c r="AK14" s="68" t="n"/>
      <c r="AL14" s="68" t="n"/>
      <c r="AM14" s="68" t="n"/>
      <c r="AN14" s="66" t="n"/>
      <c r="AO14" s="66" t="n"/>
      <c r="AP14" s="66" t="n"/>
      <c r="AQ14" s="66" t="n"/>
      <c r="AR14" s="66" t="n"/>
      <c r="AS14" s="66" t="n"/>
      <c r="AT14" s="66" t="n"/>
      <c r="AU14" s="66" t="n"/>
    </row>
    <row r="15" ht="15" customHeight="1" s="45">
      <c r="A15" s="77" t="n"/>
      <c r="B15" s="68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6" t="n"/>
      <c r="AO15" s="66" t="n"/>
      <c r="AP15" s="66" t="n"/>
      <c r="AQ15" s="66" t="n"/>
      <c r="AR15" s="66" t="n"/>
      <c r="AS15" s="66" t="n"/>
      <c r="AT15" s="66" t="n"/>
      <c r="AU15" s="66" t="n"/>
    </row>
    <row r="16" ht="15" customHeight="1" s="45">
      <c r="A16" s="77" t="n"/>
      <c r="B16" s="68" t="n"/>
      <c r="C16" s="68" t="n"/>
      <c r="D16" s="68" t="n"/>
      <c r="E16" s="68" t="n"/>
      <c r="F16" s="68" t="n"/>
      <c r="G16" s="68" t="n"/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8" t="n"/>
      <c r="AK16" s="68" t="n"/>
      <c r="AL16" s="68" t="n"/>
      <c r="AM16" s="68" t="n"/>
      <c r="AN16" s="66" t="n"/>
      <c r="AO16" s="66" t="n"/>
      <c r="AP16" s="66" t="n"/>
      <c r="AQ16" s="66" t="n"/>
      <c r="AR16" s="66" t="n"/>
      <c r="AS16" s="66" t="n"/>
      <c r="AT16" s="66" t="n"/>
      <c r="AU16" s="66" t="n"/>
    </row>
    <row r="17" ht="15" customHeight="1" s="45">
      <c r="A17" s="78" t="n"/>
      <c r="B17" s="78" t="n"/>
      <c r="C17" s="78" t="n"/>
      <c r="D17" s="78" t="n"/>
      <c r="E17" s="78" t="n"/>
      <c r="F17" s="78" t="n"/>
      <c r="G17" s="78" t="n"/>
      <c r="H17" s="78" t="n"/>
      <c r="I17" s="78" t="n"/>
      <c r="J17" s="78" t="n"/>
      <c r="K17" s="78" t="n"/>
      <c r="L17" s="78" t="n"/>
      <c r="M17" s="78" t="n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  <c r="AD17" s="78" t="n"/>
      <c r="AE17" s="78" t="n"/>
      <c r="AF17" s="78" t="n"/>
      <c r="AG17" s="78" t="n"/>
      <c r="AH17" s="78" t="n"/>
      <c r="AI17" s="78" t="n"/>
      <c r="AJ17" s="78" t="n"/>
      <c r="AK17" s="78" t="n"/>
      <c r="AL17" s="78" t="n"/>
      <c r="AM17" s="78" t="n"/>
    </row>
    <row r="18" ht="15" customHeight="1" s="45">
      <c r="A18" s="78" t="n"/>
      <c r="B18" s="78" t="n"/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  <c r="X18" s="78" t="n"/>
      <c r="Y18" s="78" t="n"/>
      <c r="Z18" s="78" t="n"/>
      <c r="AA18" s="78" t="n"/>
      <c r="AB18" s="78" t="n"/>
      <c r="AC18" s="78" t="n"/>
      <c r="AD18" s="78" t="n"/>
      <c r="AE18" s="78" t="n"/>
      <c r="AF18" s="78" t="n"/>
      <c r="AG18" s="78" t="n"/>
      <c r="AH18" s="78" t="n"/>
      <c r="AI18" s="78" t="n"/>
      <c r="AJ18" s="78" t="n"/>
      <c r="AK18" s="78" t="n"/>
      <c r="AL18" s="78" t="n"/>
      <c r="AM18" s="78" t="n"/>
    </row>
    <row r="19" ht="14.25" customHeight="1" s="45">
      <c r="A19" s="78" t="n"/>
      <c r="B19" s="78" t="n"/>
      <c r="C19" s="78" t="n"/>
      <c r="D19" s="78" t="n"/>
      <c r="E19" s="78" t="n"/>
      <c r="F19" s="78" t="n"/>
      <c r="G19" s="78" t="n"/>
      <c r="H19" s="78" t="n"/>
      <c r="I19" s="78" t="n"/>
      <c r="J19" s="78" t="n"/>
      <c r="K19" s="78" t="n"/>
      <c r="L19" s="78" t="n"/>
      <c r="M19" s="78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  <c r="AC19" s="78" t="n"/>
      <c r="AD19" s="78" t="n"/>
      <c r="AE19" s="78" t="n"/>
      <c r="AF19" s="78" t="n"/>
      <c r="AG19" s="78" t="n"/>
      <c r="AH19" s="78" t="n"/>
      <c r="AI19" s="78" t="n"/>
      <c r="AJ19" s="78" t="n"/>
      <c r="AK19" s="78" t="n"/>
      <c r="AL19" s="78" t="n"/>
      <c r="AM19" s="78" t="n"/>
    </row>
    <row r="20" ht="14.25" customHeight="1" s="45"/>
  </sheetData>
  <mergeCells count="8">
    <mergeCell ref="A1:D1"/>
    <mergeCell ref="I1:S1"/>
    <mergeCell ref="AG1:AI1"/>
    <mergeCell ref="G1:H1"/>
    <mergeCell ref="E1:F1"/>
    <mergeCell ref="T1:U1"/>
    <mergeCell ref="AL1:AM1"/>
    <mergeCell ref="V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4.25" zeroHeight="0" outlineLevelRow="0"/>
  <cols>
    <col width="26" customWidth="1" style="44" min="1" max="1"/>
    <col width="90" customWidth="1" style="44" min="2" max="2"/>
  </cols>
  <sheetData>
    <row r="1" ht="16.5" customHeight="1" s="45">
      <c r="A1" s="79" t="inlineStr">
        <is>
          <t>컬럼</t>
        </is>
      </c>
      <c r="B1" s="79" t="inlineStr">
        <is>
          <t>설명 / 기입 규칙</t>
        </is>
      </c>
    </row>
    <row r="2" ht="15" customHeight="1" s="45">
      <c r="A2" s="80" t="inlineStr">
        <is>
          <t>exp_id</t>
        </is>
      </c>
      <c r="B2" s="81" t="inlineStr">
        <is>
          <t>exp_000 형식. 스모크/본학습 구분 없이 일련번호</t>
        </is>
      </c>
    </row>
    <row r="3" ht="15" customHeight="1" s="45">
      <c r="A3" s="82" t="inlineStr">
        <is>
          <t>상태</t>
        </is>
      </c>
      <c r="B3" s="83" t="inlineStr">
        <is>
          <t>계획 / 진행 / 완료 / 폐기 중 하나 (자동 색상)</t>
        </is>
      </c>
    </row>
    <row r="4" ht="15" customHeight="1" s="45">
      <c r="A4" s="82" t="inlineStr">
        <is>
          <t>가설/목적</t>
        </is>
      </c>
      <c r="B4" s="83" t="inlineStr">
        <is>
          <t>이 실험에서 확인하려는 것 한 줄 (예: freeze_aligner=false가 급/금 잡나)</t>
        </is>
      </c>
    </row>
    <row r="5" ht="15" customHeight="1" s="45">
      <c r="A5" s="82" t="inlineStr">
        <is>
          <t>태스크</t>
        </is>
      </c>
      <c r="B5" s="81" t="inlineStr">
        <is>
          <t>VLM(이미지→텍스트) / LLM(텍스트). 문서 config는 LLM 기준이라 max_length 그대로 쓰면 안 됨</t>
        </is>
      </c>
    </row>
    <row r="6" ht="15" customHeight="1" s="45">
      <c r="A6" s="82" t="inlineStr">
        <is>
          <t>비율(k:r)</t>
        </is>
      </c>
      <c r="B6" s="81" t="inlineStr">
        <is>
          <t>korie(필드크롭) : receipts(전체영수증) 학습 비율. 3:1은 크롭 쏠림</t>
        </is>
      </c>
    </row>
    <row r="7" ht="15" customHeight="1" s="45">
      <c r="A7" s="80" t="inlineStr">
        <is>
          <t>freeze_vit / freeze_aligner</t>
        </is>
      </c>
      <c r="B7" s="83" t="inlineStr">
        <is>
          <t>비전 인코더/정렬 모듈 동결 여부. LLM설정(true/true) 그대로 쓰지 말 것. VLM은 aligner부터 풀어보기</t>
        </is>
      </c>
    </row>
    <row r="8" ht="15" customHeight="1" s="45">
      <c r="A8" s="80" t="inlineStr">
        <is>
          <t>LoRA대상수</t>
        </is>
      </c>
      <c r="B8" s="81" t="inlineStr">
        <is>
          <t>LoRA 붙은 모듈 수. B행렬 전부 non-zero 확인이 스모크 통과 기준</t>
        </is>
      </c>
    </row>
    <row r="9" ht="15" customHeight="1" s="45">
      <c r="A9" s="80" t="inlineStr">
        <is>
          <t>max_px</t>
        </is>
      </c>
      <c r="B9" s="83" t="inlineStr">
        <is>
          <t>이미지 픽셀 상한. 비전토큰≈픽셀/256. 영수증엔 1~1.3M 권장(6M은 대형문서용)</t>
        </is>
      </c>
    </row>
    <row r="10" ht="15" customHeight="1" s="45">
      <c r="A10" s="80" t="inlineStr">
        <is>
          <t>grad_ckpt</t>
        </is>
      </c>
      <c r="B10" s="81" t="inlineStr">
        <is>
          <t>MoE(A3B)는 use_reentrant=False 필수(아니면 CheckpointError)</t>
        </is>
      </c>
    </row>
    <row r="11" ht="15" customHeight="1" s="45">
      <c r="A11" s="80" t="inlineStr">
        <is>
          <t>group_by_len</t>
        </is>
      </c>
      <c r="B11" s="83" t="inlineStr">
        <is>
          <t>비슷한 길이끼리 배치 → loss 튐 완화(10토큰 vs 220토큰 혼재 문제)</t>
        </is>
      </c>
    </row>
    <row r="12" ht="15" customHeight="1" s="45">
      <c r="A12" s="80" t="inlineStr">
        <is>
          <t>eval_loss</t>
        </is>
      </c>
      <c r="B12" s="81" t="inlineStr">
        <is>
          <t>teacher-forcing loss. 생성품질과 다름 → 단독 판단 금지</t>
        </is>
      </c>
    </row>
    <row r="13" ht="15" customHeight="1" s="45">
      <c r="A13" s="80" t="inlineStr">
        <is>
          <t>CER_필드(korie)</t>
        </is>
      </c>
      <c r="B13" s="83" t="inlineStr">
        <is>
          <t>필드 전사 문자오류율. 급/금·숫자 정확도 지표</t>
        </is>
      </c>
    </row>
    <row r="14" ht="15" customHeight="1" s="45">
      <c r="A14" s="82" t="inlineStr">
        <is>
          <t>숫자exact%</t>
        </is>
      </c>
      <c r="B14" s="83" t="inlineStr">
        <is>
          <t>금액 필드 정확 일치율. 영수증은 숫자 하나 틀리면 무의미 → 별도 측정 필수</t>
        </is>
      </c>
    </row>
    <row r="15" ht="15" customHeight="1" s="45">
      <c r="A15" s="82" t="inlineStr">
        <is>
          <t>표정확도(recp)</t>
        </is>
      </c>
      <c r="B15" s="83" t="inlineStr">
        <is>
          <t>전체영수증→마크다운 표의 셀/필드 exact-match 또는 TEDS</t>
        </is>
      </c>
    </row>
    <row r="16" ht="15" customHeight="1" s="45">
      <c r="A16" s="80" t="inlineStr">
        <is>
          <t>CER_clean/heavy/extreme</t>
        </is>
      </c>
      <c r="B16" s="81" t="inlineStr">
        <is>
          <t>manifest quality별 분해. heavy/extreme가 실환경 지표</t>
        </is>
      </c>
    </row>
    <row r="17" ht="15" customHeight="1" s="45">
      <c r="A17" s="80" t="inlineStr">
        <is>
          <t>base대비Δ</t>
        </is>
      </c>
      <c r="B17" s="83" t="inlineStr">
        <is>
          <t>파인튜닝 전(Qwen base) 대비 개선폭. (-)면 개선. 하나라도 나빠지면 재고</t>
        </is>
      </c>
    </row>
    <row r="18" ht="15" customHeight="1" s="45">
      <c r="A18" s="82" t="inlineStr">
        <is>
          <t>환각건수</t>
        </is>
      </c>
      <c r="B18" s="83" t="inlineStr">
        <is>
          <t>열화 이미지에서 없는 값 지어낸 수. abstention 학습 효과 지표</t>
        </is>
      </c>
    </row>
    <row r="19" ht="15" customHeight="1" s="45">
      <c r="A19" s="82" t="inlineStr">
        <is>
          <t>망각체크</t>
        </is>
      </c>
      <c r="B19" s="81" t="inlineStr">
        <is>
          <t>base가 잘하던 능력(특히 긴 숫자열) 저하 여부. 파국적 망각 감시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4.25" zeroHeight="0" outlineLevelRow="0"/>
  <cols>
    <col width="22" customWidth="1" style="44" min="1" max="1"/>
    <col width="14" customWidth="1" style="44" min="2" max="2"/>
  </cols>
  <sheetData>
    <row r="1" ht="16.5" customHeight="1" s="45">
      <c r="A1" s="51" t="inlineStr">
        <is>
          <t>실험 요약</t>
        </is>
      </c>
    </row>
    <row r="3" ht="14.25" customHeight="1" s="45">
      <c r="A3" s="84" t="inlineStr">
        <is>
          <t>총 실험 수</t>
        </is>
      </c>
      <c r="B3" s="85">
        <f>COUNTA(실험로그!A3:A100)</f>
        <v/>
      </c>
    </row>
    <row r="4" ht="14.25" customHeight="1" s="45">
      <c r="A4" s="84" t="inlineStr">
        <is>
          <t>완료</t>
        </is>
      </c>
      <c r="B4" s="85">
        <f>COUNTIF(실험로그!D3:D100,"완료")</f>
        <v/>
      </c>
    </row>
    <row r="5" ht="14.25" customHeight="1" s="45">
      <c r="A5" s="84" t="inlineStr">
        <is>
          <t>진행</t>
        </is>
      </c>
      <c r="B5" s="85">
        <f>COUNTIF(실험로그!D3:D100,"진행")</f>
        <v/>
      </c>
    </row>
    <row r="6" ht="14.25" customHeight="1" s="45">
      <c r="A6" s="84" t="inlineStr">
        <is>
          <t>계획</t>
        </is>
      </c>
      <c r="B6" s="85">
        <f>COUNTIF(실험로그!D3:D100,"계획")</f>
        <v/>
      </c>
    </row>
    <row r="7" ht="14.25" customHeight="1" s="45">
      <c r="A7" s="84" t="inlineStr">
        <is>
          <t>폐기</t>
        </is>
      </c>
      <c r="B7" s="85">
        <f>COUNTIF(실험로그!D3:D100,"폐기")</f>
        <v/>
      </c>
    </row>
    <row r="9" ht="14.25" customHeight="1" s="45">
      <c r="A9" s="86" t="inlineStr">
        <is>
          <t>※ 판단 기준</t>
        </is>
      </c>
    </row>
    <row r="10" ht="14.25" customHeight="1" s="45">
      <c r="A10" s="87" t="inlineStr">
        <is>
          <t>· train loss 아닌 val CER/숫자exact로 판단</t>
        </is>
      </c>
    </row>
    <row r="11" ht="14.25" customHeight="1" s="45">
      <c r="A11" s="87" t="inlineStr">
        <is>
          <t>· base 대비 개선 + 숫자정확도 유지가 성공 기준</t>
        </is>
      </c>
    </row>
    <row r="12" ht="14.25" customHeight="1" s="45">
      <c r="A12" s="87" t="inlineStr">
        <is>
          <t>· heavy/extreme 품질에서 얼마나 버티나가 실환경 지표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2026-08-06T06:16:59Z</dcterms:created>
  <dcterms:modified xmlns:dcterms="http://purl.org/dc/terms/" xmlns:xsi="http://www.w3.org/2001/XMLSchema-instance" xsi:type="dcterms:W3CDTF">2026-08-13T11:28:04Z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0x010100FA2F38F024E27E4882B8488722D0246E</vt:lpwstr>
  </property>
  <property name="MediaServiceImageTags" fmtid="{D5CDD505-2E9C-101B-9397-08002B2CF9AE}" pid="3">
    <vt:lpwstr xmlns:vt="http://schemas.openxmlformats.org/officeDocument/2006/docPropsVTypes"/>
  </property>
</Properties>
</file>