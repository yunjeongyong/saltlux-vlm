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실험로그" sheetId="1" state="visible" r:id="rId1"/>
    <sheet xmlns:r="http://schemas.openxmlformats.org/officeDocument/2006/relationships" name="컬럼가이드" sheetId="2" state="visible" r:id="rId2"/>
    <sheet xmlns:r="http://schemas.openxmlformats.org/officeDocument/2006/relationships" name="요약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9">
    <font>
      <name val="Calibri"/>
      <charset val="1"/>
      <family val="2"/>
      <color theme="1"/>
      <sz val="11"/>
    </font>
    <font>
      <name val="Noto Sans CJK SC"/>
      <charset val="1"/>
      <family val="2"/>
      <b val="1"/>
      <color rgb="FF1F2937"/>
      <sz val="11"/>
    </font>
    <font>
      <name val="Calibri"/>
      <charset val="1"/>
      <family val="2"/>
      <b val="1"/>
      <sz val="11"/>
    </font>
    <font>
      <name val="Arial"/>
      <charset val="1"/>
      <family val="2"/>
      <b val="1"/>
      <color rgb="FF333333"/>
      <sz val="10"/>
    </font>
    <font>
      <name val="Noto Sans CJK SC"/>
      <charset val="1"/>
      <family val="2"/>
      <b val="1"/>
      <color rgb="FF333333"/>
      <sz val="10"/>
    </font>
    <font>
      <name val="Noto Sans CJK SC"/>
      <family val="2"/>
      <b val="1"/>
      <color rgb="FF333333"/>
      <sz val="10"/>
    </font>
    <font>
      <name val="Noto Sans CJK SC"/>
      <family val="2"/>
      <sz val="10"/>
    </font>
    <font>
      <name val="Arial"/>
      <charset val="1"/>
      <family val="2"/>
      <color rgb="FF000000"/>
      <sz val="9"/>
    </font>
    <font>
      <name val="Calibri"/>
      <charset val="1"/>
      <family val="2"/>
      <color rgb="FF000000"/>
      <sz val="11"/>
    </font>
    <font>
      <name val="Arial"/>
      <charset val="1"/>
      <family val="2"/>
      <b val="1"/>
      <color rgb="FF1F3864"/>
      <sz val="10"/>
    </font>
    <font>
      <name val="Arial"/>
      <charset val="1"/>
      <family val="2"/>
      <color rgb="FF000000"/>
      <sz val="10"/>
    </font>
    <font>
      <name val="Noto Sans CJK SC"/>
      <family val="2"/>
      <color rgb="FF000000"/>
      <sz val="10"/>
    </font>
    <font>
      <name val="Noto Sans CJK SC"/>
      <charset val="1"/>
      <family val="2"/>
      <b val="1"/>
      <color rgb="FF1F3864"/>
      <sz val="10"/>
    </font>
    <font>
      <name val="Noto Sans CJK SC"/>
      <charset val="1"/>
      <family val="2"/>
      <color rgb="FF000000"/>
      <sz val="10"/>
    </font>
    <font>
      <name val="Noto Sans CJK SC"/>
      <family val="2"/>
      <b val="1"/>
      <color rgb="FF1F3864"/>
      <sz val="10"/>
    </font>
    <font>
      <name val="Noto Sans CJK SC"/>
      <charset val="1"/>
      <family val="2"/>
      <b val="1"/>
      <color rgb="FF000000"/>
      <sz val="10"/>
    </font>
    <font>
      <name val="Noto Sans CJK SC"/>
      <charset val="1"/>
      <family val="2"/>
      <b val="1"/>
      <color rgb="FFC55A11"/>
      <sz val="10"/>
    </font>
    <font>
      <name val="Arial"/>
      <charset val="1"/>
      <family val="2"/>
      <color rgb="FF595959"/>
      <sz val="9"/>
    </font>
    <font>
      <name val="Noto Sans CJK SC"/>
      <family val="2"/>
      <color rgb="FF595959"/>
      <sz val="9"/>
    </font>
    <font>
      <name val="Arial"/>
      <family val="2"/>
      <sz val="9"/>
    </font>
    <font>
      <name val="Noto Sans CJK SC"/>
      <family val="2"/>
      <sz val="9"/>
    </font>
    <font>
      <name val="Noto Sans CJK SC"/>
      <charset val="1"/>
      <b val="1"/>
      <sz val="11"/>
    </font>
    <font>
      <name val="Noto Sans CJK SC"/>
      <charset val="1"/>
      <b val="1"/>
      <color rgb="FF1F2937"/>
      <sz val="10"/>
    </font>
    <font>
      <name val="Arial"/>
      <family val="2"/>
      <b val="1"/>
      <sz val="10"/>
    </font>
    <font>
      <name val="Noto Sans CJK SC"/>
      <charset val="1"/>
      <sz val="10"/>
    </font>
    <font>
      <name val="Noto Sans CJK SC"/>
      <charset val="1"/>
      <sz val="9"/>
    </font>
    <font>
      <name val="Arial"/>
      <family val="2"/>
      <sz val="10"/>
    </font>
    <font>
      <name val="Arial"/>
      <family val="2"/>
      <b val="1"/>
      <color rgb="FF166534"/>
      <sz val="10"/>
    </font>
    <font>
      <name val="Noto Sans CJK SC"/>
      <charset val="1"/>
      <b val="1"/>
      <sz val="10"/>
    </font>
    <font>
      <name val="돋움"/>
      <charset val="129"/>
      <family val="3"/>
      <sz val="8"/>
    </font>
    <font>
      <name val="Noto Sans CJK SC"/>
      <family val="2"/>
      <b val="1"/>
      <color rgb="FF1F2937"/>
      <sz val="11"/>
    </font>
    <font>
      <name val="Arial"/>
      <family val="2"/>
      <b val="1"/>
      <color rgb="FF1F2937"/>
      <sz val="11"/>
    </font>
    <font>
      <name val="Arial"/>
      <family val="2"/>
      <b val="1"/>
      <color rgb="FF333333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Calibri"/>
      <family val="2"/>
      <color rgb="FF000000"/>
      <sz val="11"/>
    </font>
    <font>
      <name val="Noto Sans CJK SC"/>
      <family val="2"/>
      <color rgb="FF000000"/>
      <sz val="9"/>
    </font>
    <font>
      <name val="맑은 고딕"/>
      <charset val="129"/>
      <family val="3"/>
      <sz val="10"/>
    </font>
    <font>
      <name val="Noto Sans CJK SC"/>
      <charset val="129"/>
      <family val="3"/>
      <sz val="10"/>
    </font>
  </fonts>
  <fills count="6">
    <fill>
      <patternFill/>
    </fill>
    <fill>
      <patternFill patternType="gray125"/>
    </fill>
    <fill>
      <patternFill patternType="solid">
        <fgColor rgb="FFE8EAED"/>
        <bgColor rgb="FFEFF5EF"/>
      </patternFill>
    </fill>
    <fill>
      <patternFill patternType="solid">
        <fgColor rgb="FFF5F5F5"/>
        <bgColor rgb="FFEFF5EF"/>
      </patternFill>
    </fill>
    <fill>
      <patternFill patternType="solid">
        <fgColor rgb="FFEFF5EF"/>
        <bgColor rgb="FFF5F5F5"/>
      </patternFill>
    </fill>
    <fill>
      <patternFill patternType="solid">
        <fgColor rgb="FFFFF7E6"/>
        <bgColor rgb="FFF5F5F5"/>
      </patternFill>
    </fill>
  </fills>
  <borders count="15">
    <border>
      <left/>
      <right/>
      <top/>
      <bottom/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3" borderId="4" applyAlignment="1" pivotButton="0" quotePrefix="0" xfId="0">
      <alignment wrapText="1"/>
    </xf>
    <xf numFmtId="0" fontId="3" fillId="3" borderId="4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7" fillId="0" borderId="5" pivotButton="0" quotePrefix="0" xfId="0"/>
    <xf numFmtId="0" fontId="8" fillId="0" borderId="0" pivotButton="0" quotePrefix="0" xfId="0"/>
    <xf numFmtId="0" fontId="7" fillId="0" borderId="6" pivotButton="0" quotePrefix="0" xfId="0"/>
    <xf numFmtId="0" fontId="7" fillId="0" borderId="6" applyAlignment="1" pivotButton="0" quotePrefix="0" xfId="0">
      <alignment wrapText="1"/>
    </xf>
    <xf numFmtId="0" fontId="7" fillId="0" borderId="7" pivotButton="0" quotePrefix="0" xfId="0"/>
    <xf numFmtId="0" fontId="7" fillId="0" borderId="8" pivotButton="0" quotePrefix="0" xfId="0"/>
    <xf numFmtId="0" fontId="1" fillId="2" borderId="8" applyAlignment="1" pivotButton="0" quotePrefix="0" xfId="0">
      <alignment vertical="top" wrapText="1"/>
    </xf>
    <xf numFmtId="0" fontId="9" fillId="0" borderId="8" applyAlignment="1" pivotButton="0" quotePrefix="0" xfId="0">
      <alignment vertical="top" wrapText="1"/>
    </xf>
    <xf numFmtId="0" fontId="10" fillId="0" borderId="8" applyAlignment="1" pivotButton="0" quotePrefix="0" xfId="0">
      <alignment vertical="top" wrapText="1"/>
    </xf>
    <xf numFmtId="0" fontId="12" fillId="0" borderId="8" applyAlignment="1" pivotButton="0" quotePrefix="0" xfId="0">
      <alignment vertical="top" wrapText="1"/>
    </xf>
    <xf numFmtId="0" fontId="13" fillId="0" borderId="8" applyAlignment="1" pivotButton="0" quotePrefix="0" xfId="0">
      <alignment vertical="top" wrapText="1"/>
    </xf>
    <xf numFmtId="0" fontId="15" fillId="0" borderId="8" pivotButton="0" quotePrefix="0" xfId="0"/>
    <xf numFmtId="0" fontId="10" fillId="0" borderId="8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19" fillId="0" borderId="0" pivotButton="0" quotePrefix="0" xfId="0"/>
    <xf numFmtId="0" fontId="21" fillId="2" borderId="0" pivotButton="0" quotePrefix="0" xfId="0"/>
    <xf numFmtId="0" fontId="0" fillId="2" borderId="0" pivotButton="0" quotePrefix="0" xfId="0"/>
    <xf numFmtId="0" fontId="22" fillId="2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horizontal="center"/>
    </xf>
    <xf numFmtId="0" fontId="24" fillId="0" borderId="9" applyAlignment="1" pivotButton="0" quotePrefix="0" xfId="0">
      <alignment horizontal="center"/>
    </xf>
    <xf numFmtId="0" fontId="25" fillId="0" borderId="9" pivotButton="0" quotePrefix="0" xfId="0"/>
    <xf numFmtId="164" fontId="26" fillId="0" borderId="9" applyAlignment="1" pivotButton="0" quotePrefix="0" xfId="0">
      <alignment horizontal="center"/>
    </xf>
    <xf numFmtId="165" fontId="27" fillId="0" borderId="9" applyAlignment="1" pivotButton="0" quotePrefix="0" xfId="0">
      <alignment horizontal="center"/>
    </xf>
    <xf numFmtId="165" fontId="26" fillId="0" borderId="9" applyAlignment="1" pivotButton="0" quotePrefix="0" xfId="0">
      <alignment horizontal="center"/>
    </xf>
    <xf numFmtId="0" fontId="26" fillId="0" borderId="9" applyAlignment="1" pivotButton="0" quotePrefix="0" xfId="0">
      <alignment horizontal="center"/>
    </xf>
    <xf numFmtId="0" fontId="27" fillId="0" borderId="9" applyAlignment="1" pivotButton="0" quotePrefix="0" xfId="0">
      <alignment horizontal="center"/>
    </xf>
    <xf numFmtId="0" fontId="28" fillId="0" borderId="0" pivotButton="0" quotePrefix="0" xfId="0"/>
    <xf numFmtId="0" fontId="20" fillId="0" borderId="0" pivotButton="0" quotePrefix="0" xfId="0"/>
    <xf numFmtId="0" fontId="32" fillId="3" borderId="2" applyAlignment="1" pivotButton="0" quotePrefix="0" xfId="0">
      <alignment wrapText="1"/>
    </xf>
    <xf numFmtId="0" fontId="5" fillId="3" borderId="3" applyAlignment="1" pivotButton="0" quotePrefix="0" xfId="0">
      <alignment wrapText="1"/>
    </xf>
    <xf numFmtId="0" fontId="32" fillId="3" borderId="3" applyAlignment="1" pivotButton="0" quotePrefix="0" xfId="0">
      <alignment wrapText="1"/>
    </xf>
    <xf numFmtId="0" fontId="26" fillId="0" borderId="2" applyAlignment="1" pivotButton="0" quotePrefix="0" xfId="0">
      <alignment wrapText="1"/>
    </xf>
    <xf numFmtId="0" fontId="26" fillId="0" borderId="3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0" fontId="6" fillId="4" borderId="3" applyAlignment="1" pivotButton="0" quotePrefix="0" xfId="0">
      <alignment wrapText="1"/>
    </xf>
    <xf numFmtId="0" fontId="6" fillId="5" borderId="3" applyAlignment="1" pivotButton="0" quotePrefix="0" xfId="0">
      <alignment wrapText="1"/>
    </xf>
    <xf numFmtId="0" fontId="11" fillId="0" borderId="3" applyAlignment="1" pivotButton="0" quotePrefix="0" xfId="0">
      <alignment wrapText="1"/>
    </xf>
    <xf numFmtId="0" fontId="33" fillId="0" borderId="3" applyAlignment="1" pivotButton="0" quotePrefix="0" xfId="0">
      <alignment wrapText="1"/>
    </xf>
    <xf numFmtId="0" fontId="34" fillId="0" borderId="6" pivotButton="0" quotePrefix="0" xfId="0"/>
    <xf numFmtId="0" fontId="6" fillId="0" borderId="3" pivotButton="0" quotePrefix="0" xfId="0"/>
    <xf numFmtId="0" fontId="35" fillId="0" borderId="0" pivotButton="0" quotePrefix="0" xfId="0"/>
    <xf numFmtId="0" fontId="30" fillId="2" borderId="10" pivotButton="0" quotePrefix="0" xfId="0"/>
    <xf numFmtId="0" fontId="30" fillId="2" borderId="11" pivotButton="0" quotePrefix="0" xfId="0"/>
    <xf numFmtId="0" fontId="30" fillId="2" borderId="1" pivotButton="0" quotePrefix="0" xfId="0"/>
    <xf numFmtId="0" fontId="31" fillId="2" borderId="11" pivotButton="0" quotePrefix="0" xfId="0"/>
    <xf numFmtId="0" fontId="31" fillId="2" borderId="1" pivotButton="0" quotePrefix="0" xfId="0"/>
    <xf numFmtId="0" fontId="1" fillId="2" borderId="0" pivotButton="0" quotePrefix="0" xfId="0"/>
    <xf numFmtId="0" fontId="30" fillId="2" borderId="14" pivotButton="0" quotePrefix="0" xfId="0"/>
    <xf numFmtId="0" fontId="0" fillId="0" borderId="11" pivotButton="0" quotePrefix="0" xfId="0"/>
    <xf numFmtId="0" fontId="0" fillId="0" borderId="1" pivotButton="0" quotePrefix="0" xfId="0"/>
    <xf numFmtId="164" fontId="26" fillId="0" borderId="9" applyAlignment="1" pivotButton="0" quotePrefix="0" xfId="0">
      <alignment horizontal="center"/>
    </xf>
    <xf numFmtId="165" fontId="27" fillId="0" borderId="9" applyAlignment="1" pivotButton="0" quotePrefix="0" xfId="0">
      <alignment horizontal="center"/>
    </xf>
    <xf numFmtId="165" fontId="26" fillId="0" borderId="9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E6"/>
      <rgbColor rgb="FFEFF5E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ED"/>
      <rgbColor rgb="FFE0E0E0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1F2937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"/>
  <sheetViews>
    <sheetView tabSelected="1" zoomScaleNormal="100" workbookViewId="0">
      <pane xSplit="4" ySplit="2" topLeftCell="R3" activePane="bottomRight" state="frozen"/>
      <selection pane="bottomRight" activeCell="AA2" sqref="V1:AE2"/>
      <selection pane="bottomLeft" activeCell="A3" sqref="A3"/>
      <selection pane="topRight" activeCell="W1" sqref="W1"/>
    </sheetView>
  </sheetViews>
  <sheetFormatPr baseColWidth="8" defaultColWidth="8.7109375" defaultRowHeight="15"/>
  <cols>
    <col width="10" customWidth="1" min="1" max="1"/>
    <col width="11" customWidth="1" min="2" max="2"/>
    <col width="30" customWidth="1" min="3" max="3"/>
    <col width="9" customWidth="1" min="4" max="4"/>
    <col width="18" customWidth="1" min="5" max="5"/>
    <col width="9.5703125" customWidth="1" min="6" max="6"/>
    <col width="27.140625" customWidth="1" min="7" max="7"/>
    <col width="8" customWidth="1" min="8" max="8"/>
    <col width="10" customWidth="1" min="9" max="9"/>
    <col width="9" customWidth="1" min="10" max="10"/>
    <col width="7" customWidth="1" min="11" max="11"/>
    <col width="8" customWidth="1" min="12" max="12"/>
    <col width="9" customWidth="1" min="13" max="13"/>
    <col width="12" customWidth="1" min="14" max="14"/>
    <col width="10" customWidth="1" min="15" max="15"/>
    <col width="9" customWidth="1" min="16" max="16"/>
    <col width="10" customWidth="1" min="17" max="17"/>
    <col width="7" customWidth="1" min="18" max="18"/>
    <col width="6" customWidth="1" min="19" max="19"/>
    <col width="9" customWidth="1" min="20" max="22"/>
    <col width="14" customWidth="1" min="23" max="23"/>
    <col width="11" customWidth="1" min="24" max="24"/>
    <col width="12" customWidth="1" min="25" max="25"/>
    <col width="10" customWidth="1" min="26" max="26"/>
    <col width="9" customWidth="1" min="27" max="27"/>
    <col width="13" customWidth="1" min="28" max="28"/>
    <col width="10" customWidth="1" min="29" max="29"/>
    <col width="12" customWidth="1" min="30" max="30"/>
    <col width="9" customWidth="1" min="31" max="32"/>
    <col width="10" customWidth="1" min="33" max="34"/>
    <col width="8" customWidth="1" min="35" max="35"/>
    <col width="18" customWidth="1" min="36" max="36"/>
    <col width="30" customWidth="1" min="37" max="37"/>
    <col width="40" customWidth="1" min="38" max="38"/>
  </cols>
  <sheetData>
    <row r="1" ht="18" customHeight="1">
      <c r="A1" s="54" t="inlineStr">
        <is>
          <t>기본</t>
        </is>
      </c>
      <c r="B1" s="55" t="n"/>
      <c r="C1" s="55" t="n"/>
      <c r="D1" s="56" t="n"/>
      <c r="E1" s="50" t="inlineStr">
        <is>
          <t>모델</t>
        </is>
      </c>
      <c r="F1" s="56" t="n"/>
      <c r="G1" s="50" t="inlineStr">
        <is>
          <t>데이터</t>
        </is>
      </c>
      <c r="H1" s="56" t="n"/>
      <c r="I1" s="50" t="inlineStr">
        <is>
          <t>학습설정</t>
        </is>
      </c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6" t="n"/>
      <c r="T1" s="52" t="inlineStr">
        <is>
          <t>HW</t>
        </is>
      </c>
      <c r="U1" s="56" t="n"/>
      <c r="V1" s="50" t="inlineStr">
        <is>
          <t>결과</t>
        </is>
      </c>
      <c r="W1" s="55" t="n"/>
      <c r="X1" s="55" t="n"/>
      <c r="Y1" s="55" t="n"/>
      <c r="Z1" s="55" t="n"/>
      <c r="AA1" s="55" t="n"/>
      <c r="AB1" s="55" t="n"/>
      <c r="AC1" s="55" t="n"/>
      <c r="AD1" s="55" t="n"/>
      <c r="AE1" s="56" t="n"/>
      <c r="AF1" s="50" t="inlineStr">
        <is>
          <t>기타</t>
        </is>
      </c>
      <c r="AG1" s="55" t="n"/>
      <c r="AH1" s="56" t="n"/>
      <c r="AI1" s="53" t="n"/>
      <c r="AJ1" s="53" t="n"/>
      <c r="AK1" s="53" t="n"/>
      <c r="AM1" s="2" t="n"/>
      <c r="AN1" s="2" t="n"/>
      <c r="AO1" s="2" t="n"/>
      <c r="AP1" s="2" t="n"/>
      <c r="AQ1" s="2" t="n"/>
      <c r="AR1" s="2" t="n"/>
      <c r="AS1" s="2" t="n"/>
      <c r="AT1" s="2" t="n"/>
    </row>
    <row r="2" ht="30" customHeight="1">
      <c r="A2" s="35" t="inlineStr">
        <is>
          <t>exp_id</t>
        </is>
      </c>
      <c r="B2" s="36" t="inlineStr">
        <is>
          <t>날짜</t>
        </is>
      </c>
      <c r="C2" s="36" t="inlineStr">
        <is>
          <t>가설/목적</t>
        </is>
      </c>
      <c r="D2" s="36" t="inlineStr">
        <is>
          <t>상태</t>
        </is>
      </c>
      <c r="E2" s="36" t="inlineStr">
        <is>
          <t>베이스모델</t>
        </is>
      </c>
      <c r="F2" s="36" t="inlineStr">
        <is>
          <t>태스크</t>
        </is>
      </c>
      <c r="G2" s="36" t="inlineStr">
        <is>
          <t>학습데이터(구성)</t>
        </is>
      </c>
      <c r="H2" s="37" t="inlineStr">
        <is>
          <t>n_val</t>
        </is>
      </c>
      <c r="I2" s="37" t="inlineStr">
        <is>
          <t>tuner</t>
        </is>
      </c>
      <c r="J2" s="37" t="inlineStr">
        <is>
          <t>freeze(vit/aligner)</t>
        </is>
      </c>
      <c r="K2" s="37" t="inlineStr">
        <is>
          <t>LoRA대상수</t>
        </is>
      </c>
      <c r="L2" s="37" t="inlineStr">
        <is>
          <t>lr</t>
        </is>
      </c>
      <c r="M2" s="37" t="inlineStr">
        <is>
          <t>scheduler</t>
        </is>
      </c>
      <c r="N2" s="37" t="inlineStr">
        <is>
          <t>epochs</t>
        </is>
      </c>
      <c r="O2" s="37" t="inlineStr">
        <is>
          <t>batch×accum</t>
        </is>
      </c>
      <c r="P2" s="37" t="inlineStr">
        <is>
          <t>max_length</t>
        </is>
      </c>
      <c r="Q2" s="37" t="inlineStr">
        <is>
          <t>max_px</t>
        </is>
      </c>
      <c r="R2" s="37" t="inlineStr">
        <is>
          <t>grad_ckpt</t>
        </is>
      </c>
      <c r="S2" s="37" t="inlineStr">
        <is>
          <t>group_by_len</t>
        </is>
      </c>
      <c r="T2" s="37" t="inlineStr">
        <is>
          <t>GPU</t>
        </is>
      </c>
      <c r="U2" s="36" t="inlineStr">
        <is>
          <t>소요시간</t>
        </is>
      </c>
      <c r="V2" s="37" t="inlineStr">
        <is>
          <t>eval_loss</t>
        </is>
      </c>
      <c r="W2" s="36" t="inlineStr">
        <is>
          <t>평가셋</t>
        </is>
      </c>
      <c r="X2" s="36" t="inlineStr">
        <is>
          <t>평가건수</t>
        </is>
      </c>
      <c r="Y2" s="37" t="inlineStr">
        <is>
          <t>CER_중앙값</t>
        </is>
      </c>
      <c r="Z2" s="37" t="inlineStr">
        <is>
          <t>CER(0~1)↓</t>
        </is>
      </c>
      <c r="AA2" s="37" t="inlineStr">
        <is>
          <t>TEDS</t>
        </is>
      </c>
      <c r="AB2" s="36" t="inlineStr">
        <is>
          <t>완전일치%</t>
        </is>
      </c>
      <c r="AC2" s="37" t="inlineStr">
        <is>
          <t>AVG_매크로</t>
        </is>
      </c>
      <c r="AD2" s="37" t="inlineStr">
        <is>
          <t>AVG_마이크로</t>
        </is>
      </c>
      <c r="AE2" s="37" t="inlineStr">
        <is>
          <t>base대비Δ</t>
        </is>
      </c>
      <c r="AF2" s="37" t="inlineStr">
        <is>
          <t>checkpoint경로</t>
        </is>
      </c>
      <c r="AG2" s="36" t="inlineStr">
        <is>
          <t>평가결과_json</t>
        </is>
      </c>
      <c r="AH2" s="36" t="inlineStr">
        <is>
          <t>메모</t>
        </is>
      </c>
      <c r="AI2" s="3" t="n"/>
      <c r="AJ2" s="3" t="n"/>
      <c r="AK2" s="4" t="n"/>
      <c r="AL2" s="3" t="n"/>
      <c r="AM2" s="5" t="n"/>
      <c r="AN2" s="5" t="n"/>
      <c r="AO2" s="5" t="n"/>
      <c r="AP2" s="5" t="n"/>
      <c r="AQ2" s="5" t="n"/>
      <c r="AR2" s="5" t="n"/>
      <c r="AS2" s="5" t="n"/>
      <c r="AT2" s="5" t="n"/>
    </row>
    <row r="3" ht="33.75" customHeight="1">
      <c r="A3" s="38" t="inlineStr">
        <is>
          <t>exp_001</t>
        </is>
      </c>
      <c r="B3" s="39" t="inlineStr">
        <is>
          <t>8-12-2026</t>
        </is>
      </c>
      <c r="C3" s="40" t="inlineStr">
        <is>
          <t>베이스 모델의 크롭 평가 기준선 확보 (파인튜닝이 넘어야 할 도달 목표선)</t>
        </is>
      </c>
      <c r="D3" s="41" t="inlineStr">
        <is>
          <t>완료</t>
        </is>
      </c>
      <c r="E3" s="40" t="inlineStr">
        <is>
          <t>베이스 모델 (luxia-document-parsing-high, 사내 서빙)</t>
        </is>
      </c>
      <c r="F3" s="39" t="inlineStr">
        <is>
          <t>VLM(측정만)</t>
        </is>
      </c>
      <c r="G3" s="39" t="inlineStr">
        <is>
          <t>— (측정만)</t>
        </is>
      </c>
      <c r="H3" s="40" t="inlineStr">
        <is>
          <t xml:space="preserve">　</t>
        </is>
      </c>
      <c r="I3" s="40" t="inlineStr">
        <is>
          <t xml:space="preserve">　</t>
        </is>
      </c>
      <c r="J3" s="40" t="inlineStr">
        <is>
          <t xml:space="preserve">　</t>
        </is>
      </c>
      <c r="K3" s="40" t="inlineStr">
        <is>
          <t xml:space="preserve">　</t>
        </is>
      </c>
      <c r="L3" s="40" t="inlineStr">
        <is>
          <t xml:space="preserve">　</t>
        </is>
      </c>
      <c r="M3" s="40" t="inlineStr">
        <is>
          <t xml:space="preserve">　</t>
        </is>
      </c>
      <c r="N3" s="40" t="inlineStr">
        <is>
          <t xml:space="preserve">　</t>
        </is>
      </c>
      <c r="O3" s="40" t="inlineStr">
        <is>
          <t xml:space="preserve">　</t>
        </is>
      </c>
      <c r="P3" s="40" t="inlineStr">
        <is>
          <t xml:space="preserve">　</t>
        </is>
      </c>
      <c r="Q3" s="40" t="inlineStr">
        <is>
          <t xml:space="preserve">　</t>
        </is>
      </c>
      <c r="R3" s="40" t="inlineStr">
        <is>
          <t xml:space="preserve">　</t>
        </is>
      </c>
      <c r="S3" s="40" t="inlineStr">
        <is>
          <t xml:space="preserve">　</t>
        </is>
      </c>
      <c r="T3" s="39" t="inlineStr">
        <is>
          <t>API 호출 (http://172.16.100.242:60100)</t>
        </is>
      </c>
      <c r="U3" s="39" t="inlineStr">
        <is>
          <t>4분</t>
        </is>
      </c>
      <c r="V3" s="40" t="inlineStr">
        <is>
          <t xml:space="preserve">　</t>
        </is>
      </c>
      <c r="W3" s="40" t="inlineStr">
        <is>
          <t>영수증 크롭 1,036 (text 933 / table 103) — transpose 2장(receipt34/67) 제외. ※ 유일하게 1,036셋이고 CER 도 구정의 값이라 1,019셋 행들과 직접 비교 불가. 원자료 eval_crops_luxia.json 부재로 재계산 불가</t>
        </is>
      </c>
      <c r="X3" s="39" t="n">
        <v>1036</v>
      </c>
      <c r="Y3" s="39" t="n">
        <v>0</v>
      </c>
      <c r="Z3" s="39" t="inlineStr">
        <is>
          <t>—</t>
        </is>
      </c>
      <c r="AA3" s="39" t="n">
        <v>0.7030999999999999</v>
      </c>
      <c r="AB3" s="39" t="n">
        <v>57.1</v>
      </c>
      <c r="AC3" s="39" t="n">
        <v>0.7624</v>
      </c>
      <c r="AD3" s="39" t="n">
        <v>0.8098</v>
      </c>
      <c r="AE3" s="40" t="inlineStr">
        <is>
          <t xml:space="preserve">　</t>
        </is>
      </c>
      <c r="AF3" s="39" t="inlineStr">
        <is>
          <t>/data/workspace/VLM/engine/model/luxia-document-parsing-high</t>
        </is>
      </c>
      <c r="AG3" s="39" t="inlineStr">
        <is>
          <t>receipt_data/review/eval_crops_luxia.json</t>
        </is>
      </c>
      <c r="AH3" s="39" t="inlineStr">
        <is>
          <t>enable_thinking=False로 호출(안 끄면 추론과정 뱉어 CER 붕괴). 완전일치 533/973(text 기준). 중앙값 0이나 짧은 한글 크롭 LaTeX 폭주 78건이 평균을 끌어올림 → 대표값은 중앙값. ▶ 해상도 보정 후 재측정(크롭 좌표 스케일 보정): CER평균 0.4532→0.2276, CER&gt;1 78→57, TEDS 0.6991→0.7031, 완전일치 54.8→57.1.</t>
        </is>
      </c>
      <c r="AI3" s="6" t="n"/>
      <c r="AJ3" s="6" t="n"/>
      <c r="AK3" s="6" t="n"/>
      <c r="AL3" s="6" t="n"/>
      <c r="AM3" s="7" t="n"/>
      <c r="AN3" s="7" t="n"/>
      <c r="AO3" s="7" t="n"/>
      <c r="AP3" s="7" t="n"/>
      <c r="AQ3" s="7" t="n"/>
      <c r="AR3" s="7" t="n"/>
      <c r="AS3" s="7" t="n"/>
      <c r="AT3" s="7" t="n"/>
    </row>
    <row r="4" ht="22.5" customHeight="1">
      <c r="A4" s="38" t="inlineStr">
        <is>
          <t>exp_003</t>
        </is>
      </c>
      <c r="B4" s="39" t="inlineStr">
        <is>
          <t>8-12-2026</t>
        </is>
      </c>
      <c r="C4" s="40" t="inlineStr">
        <is>
          <t>학습 데이터 태스크·출력형식을 평가에 맞추면(HTML 표+전사) TEDS/CER 개선되는가</t>
        </is>
      </c>
      <c r="D4" s="41" t="inlineStr">
        <is>
          <t>완료</t>
        </is>
      </c>
      <c r="E4" s="39" t="inlineStr">
        <is>
          <t>Qwen3.6-35B-A3B + LoRA (학습 모델)</t>
        </is>
      </c>
      <c r="F4" s="39" t="inlineStr">
        <is>
          <t>VLM</t>
        </is>
      </c>
      <c r="G4" s="39" t="inlineStr">
        <is>
          <t>upload_mix 4,496 (영수증 187×8=1,496 + 공공문서 3,000)</t>
        </is>
      </c>
      <c r="H4" s="39" t="n">
        <v>98</v>
      </c>
      <c r="I4" s="39" t="inlineStr">
        <is>
          <t>LoRA r=16 (α32, dropout0.05)</t>
        </is>
      </c>
      <c r="J4" s="39" t="inlineStr">
        <is>
          <t>vit=T / aligner=F</t>
        </is>
      </c>
      <c r="K4" s="39" t="n">
        <v>250</v>
      </c>
      <c r="L4" s="39" t="n">
        <v>0.0001</v>
      </c>
      <c r="M4" s="39" t="inlineStr">
        <is>
          <t>cosine (warmup0.05)</t>
        </is>
      </c>
      <c r="N4" s="39" t="n">
        <v>2</v>
      </c>
      <c r="O4" s="39" t="inlineStr">
        <is>
          <t>2×4</t>
        </is>
      </c>
      <c r="P4" s="39" t="n">
        <v>8192</v>
      </c>
      <c r="Q4" s="39" t="n">
        <v>1000000</v>
      </c>
      <c r="R4" s="39" t="inlineStr">
        <is>
          <t>off</t>
        </is>
      </c>
      <c r="S4" s="39" t="inlineStr">
        <is>
          <t>#####</t>
        </is>
      </c>
      <c r="T4" s="39" t="inlineStr">
        <is>
          <t>H100 x2 (2,3)</t>
        </is>
      </c>
      <c r="U4" s="39" t="inlineStr">
        <is>
          <t>6시간 24분 (1,124 step, 20.51s/it)</t>
        </is>
      </c>
      <c r="V4" s="39" t="inlineStr">
        <is>
          <t>0.2294 (최종) — 0.1628→0.1851→0.2163→0.2294 단조상승</t>
        </is>
      </c>
      <c r="W4" s="40" t="inlineStr">
        <is>
          <t>영수증 크롭 1,019 (text 921 / table 98) — 전량, v2/v3 재생성판</t>
        </is>
      </c>
      <c r="X4" s="39" t="inlineStr">
        <is>
          <t>1,019 (text 921 / table 98)</t>
        </is>
      </c>
      <c r="Y4" s="39" t="n">
        <v>0</v>
      </c>
      <c r="Z4" s="39" t="n">
        <v>0.1302</v>
      </c>
      <c r="AA4" s="39" t="n">
        <v>0.7287</v>
      </c>
      <c r="AB4" s="39" t="n">
        <v>57.2</v>
      </c>
      <c r="AC4" s="39" t="n">
        <v>0.7993</v>
      </c>
      <c r="AD4" s="39" t="n">
        <v>0.8563</v>
      </c>
      <c r="AE4" s="40" t="inlineStr">
        <is>
          <t>[8/21 지표 통일] 전 행을 전량 1,019(text 921 / table 98) · 유계 CER(편집거리/max(len(GT),len(예측)), 항상 0~1)로 재산출했다. 5자 원자료 all5_1019.json. exp_003 CER 0.1302 / TEDS 0.7287 / 완전일치 57.2%(527/921) / AVG 매크로 0.7993 · 마이크로 0.8563 / 폭주 CER=1.0 27건·반복루프 1건. ◆ 아래 서술은 폐기된 1,036셋·구정의 기준이라 위 수치와 이어붙이지 말 것: 서빙 기준선(exp_001 LUXIA) 대비 CER −37.5% / TEDS +2.8%. 학습 전 출발점(Qwen 맨몸, 동일 1,036건) 대비 CER 0.1963→0.1423(−27.5%) / TEDS 0.6603→0.7229(+9.5%) — eval_crops_base.json 에 보존.</t>
        </is>
      </c>
      <c r="AF4" s="39" t="inlineStr">
        <is>
          <t>ml/runs/upload-mix-qwen36 (최종 step1124). ckpt-1000도 측정: CER 0.1413 / TEDS 0.7188 / 완전일치 58.3%</t>
        </is>
      </c>
      <c r="AG4" s="39" t="inlineStr">
        <is>
          <t>receipt_data/review/eval_crops_exp003.json</t>
        </is>
      </c>
      <c r="AH4" s="40" t="inlineStr">
        <is>
          <t>★베이스 모델(exp_001) 전 지표 초과. 출력형식을 평가에 맞추면 개선된다는 점 확인. ①표 크롭 단위 학습은 0건(표는 영수증 페이지 마크다운 안에 1,424건 포함 = 학습셋의 31.7%)인데 크롭 평가 TEDS가 0.7031→0.7229로 상승 — 표 크롭을 가르쳐서가 아니라 출력형식을 평가에 맞춘 효과. ②CER 개선의 대부분은 폭주 57→20건 감소분. 그 폭주 중 상당수는 크롭 패딩(pad_ratio=0.02)이 이웃 줄을 끌어온 평가 아티팩트라, 모델이 "크롭=한 덩어리" 규약을 배운 효과가 섞여 있다. 중앙값은 두 모델 모두 0.0000. ③eval_loss는 0.1628→0.2294로 단조상승했으나 ckpt-1000(CER 0.1413)과 최종(0.1423)의 생성품질이 사실상 동일 — eval_loss(teacher-forcing)로 과적합을 판정한 것은 오판이었다. ④완전일치%는 57.1→57.4로 사실상 제자리 — "덜 크게 틀리게" 된 개선이다. (참고: 학습 전 출발점 Qwen 맨몸 대비로는 폭주 44→20, 완전일치 58.4→57.4로 −1.0p)
[8/19 전량 1,019 재측정] CER 중앙값 0.0000 / 평균 0.2324 (CER&gt;1 16건, 최대 68.2), TEDS 0.7287, 완전일치 57.2%(527/921), AVG 매크로 0.7916 / 마이크로 0.8425. 위 본문 수치는 1,036셋 기준이라 직접 비교 불가 — full1019.json 참조.</t>
        </is>
      </c>
      <c r="AI4" s="8" t="n"/>
      <c r="AJ4" s="8" t="n"/>
      <c r="AK4" s="8" t="n"/>
      <c r="AL4" s="8" t="n"/>
      <c r="AM4" s="7" t="n"/>
      <c r="AN4" s="7" t="n"/>
      <c r="AO4" s="7" t="n"/>
      <c r="AP4" s="7" t="n"/>
      <c r="AQ4" s="7" t="n"/>
      <c r="AR4" s="7" t="n"/>
      <c r="AS4" s="7" t="n"/>
      <c r="AT4" s="7" t="n"/>
    </row>
    <row r="5" ht="22.5" customHeight="1">
      <c r="A5" s="38" t="inlineStr">
        <is>
          <t>exp_004</t>
        </is>
      </c>
      <c r="B5" s="39" t="inlineStr">
        <is>
          <t>8-13-2026</t>
        </is>
      </c>
      <c r="C5" s="40" t="inlineStr">
        <is>
          <t>평가 단위(크롭)에 학습 단위를 맞추고 신규 선별 8,198건을 투입하면 CER/TEDS가 더 개선되는가</t>
        </is>
      </c>
      <c r="D5" s="42" t="inlineStr">
        <is>
          <t>완료</t>
        </is>
      </c>
      <c r="E5" s="39" t="inlineStr">
        <is>
          <t>Qwen3.6-35B-A3B + LoRA (학습 모델)</t>
        </is>
      </c>
      <c r="F5" s="39" t="inlineStr">
        <is>
          <t>VLM</t>
        </is>
      </c>
      <c r="G5" s="39" t="inlineStr">
        <is>
          <t>exp004b_260813 11,298행 — 신규 선별 8,198(kdy_260813 전량: pubtabnet 표크롭 5,500 / multimodal-retrieval 2,500 / kogovdoc 198) + aihub 페이지OCR 2,000 + 영수증크롭 913(text 820 / table 93) + 영수증페이지 187(8→1회)</t>
        </is>
      </c>
      <c r="H5" s="39" t="n">
        <v>96</v>
      </c>
      <c r="I5" s="39" t="inlineStr">
        <is>
          <t>LoRA r=16 (α32, dropout0.05)</t>
        </is>
      </c>
      <c r="J5" s="39" t="inlineStr">
        <is>
          <t>vit=T / aligner=F</t>
        </is>
      </c>
      <c r="K5" s="39" t="n">
        <v>250</v>
      </c>
      <c r="L5" s="39" t="n">
        <v>0.0001</v>
      </c>
      <c r="M5" s="39" t="inlineStr">
        <is>
          <t>cosine (warmup0.05)</t>
        </is>
      </c>
      <c r="N5" s="39" t="n">
        <v>2</v>
      </c>
      <c r="O5" s="39" t="inlineStr">
        <is>
          <t>1×8 (유효8)</t>
        </is>
      </c>
      <c r="P5" s="39" t="n">
        <v>8192</v>
      </c>
      <c r="Q5" s="39" t="n">
        <v>1000000</v>
      </c>
      <c r="R5" s="39" t="inlineStr">
        <is>
          <t>off</t>
        </is>
      </c>
      <c r="S5" s="39" t="inlineStr">
        <is>
          <t>#####</t>
        </is>
      </c>
      <c r="T5" s="39" t="inlineStr">
        <is>
          <t>H100 x2 (2,3)</t>
        </is>
      </c>
      <c r="U5" s="40" t="inlineStr">
        <is>
          <t>28시간 39분 (2,794 step). 8/13 15:54 KST 시작 → 8/14 20:33 KST 종료. 체크포인트 간격 기준 31.4 s/it</t>
        </is>
      </c>
      <c r="V5" s="40" t="inlineStr">
        <is>
          <t xml:space="preserve">　</t>
        </is>
      </c>
      <c r="W5" s="40" t="inlineStr">
        <is>
          <t>영수증 크롭 1,019 (v2/v3 재생성판). ※ 본 행 지표는 8/19 전량 재측정분이라 exp_001~003의 1,036셋과 직접 비교 불가</t>
        </is>
      </c>
      <c r="X5" s="39" t="inlineStr">
        <is>
          <t>1,019 (text 921 / table 98)</t>
        </is>
      </c>
      <c r="Y5" s="39" t="n">
        <v>0</v>
      </c>
      <c r="Z5" s="39" t="n">
        <v>0.1063</v>
      </c>
      <c r="AA5" s="39" t="n">
        <v>0.7079</v>
      </c>
      <c r="AB5" s="39" t="n">
        <v>64.2</v>
      </c>
      <c r="AC5" s="39" t="n">
        <v>0.8008</v>
      </c>
      <c r="AD5" s="39" t="n">
        <v>0.8759</v>
      </c>
      <c r="AE5" s="43" t="inlineStr">
        <is>
          <t>[8/21 지표 통일] 전 행을 전량 1,019(text 921 / table 98) · 유계 CER(편집거리/max(len(GT),len(예측)), 항상 0~1)로 재산출했다. 5자 원자료 all5_1019.json. exp_004 CER 0.1063 — 5개 실험 중 최저. 중앙값 0.0000 / 최대 1.0000 / 범위이탈 0건. TEDS 0.7079 / 완전일치 64.2%(591/921) / AVG 매크로 0.8008 · 마이크로 0.8759(둘 다 최고) / 폭주 CER=1.0 28건·반복루프 7건. ◆ 이전 기록의 CER 1.9313 은 구정의(편집거리/GT길이, 상한 없음)가 만든 아티팩트라 폐기했다. 텍스트 921건 CER 합의 93.3%를 단 7건이 만들었다 — 7건 모두 반복루프로 max_new=1024 상한까지 생성(정상 8초 → 139초)했고 GT 2자 크롭에 1024자를 뱉어 CER 512.0 을 찍었다. 출처는 receipt67 6건 + receipt34 1건으로, exp_001/003 의 1,036셋에서 'transpose 2장'으로 제외했던 두 문서이며 1,019셋에 40크롭이 다시 들어왔다. 유계 정의에서 이 7건의 비중은 93.3% → 7.1%. 완화책: no_repeat_ngram_size=8 적용 시 상한도달 7→0건 (exp004_norep8_recheck.json, 미적용). 산출물: receipt_data/review/exp004_cer_bounded.json</t>
        </is>
      </c>
      <c r="AF5" s="39" t="inlineStr">
        <is>
          <t>ml/runs/exp004-260813 (최종 step2794)</t>
        </is>
      </c>
      <c r="AG5" s="40" t="inlineStr">
        <is>
          <t>receipt_data/review/full1019.json</t>
        </is>
      </c>
      <c r="AH5" s="40" t="inlineStr">
        <is>
          <t>데이터: 신규 선별분 kdy_260813 8,198건 전량 투입(당초 3,198건만 넣었다가 재구성). 표 크롭 5,500 + 영수증표크롭 93 = 5,593건 — exp_003은 표 크롭 0건. 영수증 페이지 반복 8회→1회. 영수증 크롭 913은 평가와 동일 스크립트·프롬프트로 생성, 평가셋과 문서 교집합 0. KorIE 크롭 5,356은 표본검수 결과 11%가 "라벨&lt;이미지" 유형이라 평가 아티팩트를 강화할 위험이 있어 제외. load_best_model_at_end=True + save/eval_steps=250 — exp_003은 best인 step250이 저장조차 안 됐음. val=test 96 동일(지시). ★배치 구성만 exp_003과 다름 — batch 2에서 CUDA OOM. 손실계산의 logits(batch×seq×vocab151,936×4B)가 원인으로, exp_003 최대 시퀀스 5,207(6.33GB)은 여유 0으로 겨우 통과했으나 신규 소스(공공문서 7,808 / 표크롭 5,940 / pubtabnet 6,096)가 9.49GB로 초과. 긴 행 제거안은 폐기 — 빠지는 것이 정확히 이번에 추가한 복잡문서·표라 실험 목적을 훼손함. 대신 batch 2×4 → 1×8 로 마이크로배치만 분할: 유효배치 8 동일, 데이터 전량 유지, 하이퍼파라미터 무변경. 대가는 속도(20.5→36s/it).</t>
        </is>
      </c>
      <c r="AI5" s="8" t="n"/>
      <c r="AJ5" s="8" t="n"/>
      <c r="AK5" s="8" t="n"/>
      <c r="AL5" s="9" t="n"/>
      <c r="AM5" s="7" t="n"/>
      <c r="AN5" s="7" t="n"/>
      <c r="AO5" s="7" t="n"/>
      <c r="AP5" s="7" t="n"/>
      <c r="AQ5" s="7" t="n"/>
      <c r="AR5" s="7" t="n"/>
      <c r="AS5" s="7" t="n"/>
      <c r="AT5" s="7" t="n"/>
    </row>
    <row r="6" ht="22.5" customHeight="1">
      <c r="A6" s="38" t="inlineStr">
        <is>
          <t>exp_005</t>
        </is>
      </c>
      <c r="B6" s="39" t="inlineStr">
        <is>
          <t>8-18-2026</t>
        </is>
      </c>
      <c r="C6" s="40" t="inlineStr">
        <is>
          <t>온라인 이미지 증강(회전·원근·말림·감열지퇴색·그림자·블러·노이즈·JPEG·축소 9종)으로 원본 영수증 95장의 한계를 보완하면 CER·TEDS가 개선되는지. 데이터셋은 exp_004와 동일하게 두어 증강 효과만 분리 측정</t>
        </is>
      </c>
      <c r="D6" s="42" t="inlineStr">
        <is>
          <t>완료</t>
        </is>
      </c>
      <c r="E6" s="39" t="inlineStr">
        <is>
          <t>Qwen3.6-35B-A3B + LoRA (학습 모델)</t>
        </is>
      </c>
      <c r="F6" s="39" t="inlineStr">
        <is>
          <t>VLM</t>
        </is>
      </c>
      <c r="G6" s="39" t="inlineStr">
        <is>
          <t>exp004c_260813 11,173행 — exp_004와 동일(수정 없음) + 학습 중 온라인 이미지 증강 p=0.7, 한 장당 최대 3종 중첩, 크롭 크기에 따라 강도 자동 조절(k=0.25~1.0). val에는 미적용</t>
        </is>
      </c>
      <c r="H6" s="39" t="n">
        <v>90</v>
      </c>
      <c r="I6" s="39" t="inlineStr">
        <is>
          <t>LoRA r=16 (α32, dropout0.05)</t>
        </is>
      </c>
      <c r="J6" s="39" t="inlineStr">
        <is>
          <t>vit=T / aligner=F</t>
        </is>
      </c>
      <c r="K6" s="39" t="n">
        <v>250</v>
      </c>
      <c r="L6" s="39" t="n">
        <v>0.0001</v>
      </c>
      <c r="M6" s="39" t="inlineStr">
        <is>
          <t>cosine (warmup 139step = 5%)</t>
        </is>
      </c>
      <c r="N6" s="39" t="n">
        <v>2</v>
      </c>
      <c r="O6" s="39" t="inlineStr">
        <is>
          <t>2×4 (유효8)</t>
        </is>
      </c>
      <c r="P6" s="39" t="n">
        <v>8192</v>
      </c>
      <c r="Q6" s="39" t="n">
        <v>1000000</v>
      </c>
      <c r="R6" s="39" t="inlineStr">
        <is>
          <t>off</t>
        </is>
      </c>
      <c r="S6" s="40" t="inlineStr">
        <is>
          <t>미지원 (transformers 5.15에서 인자 제거됨)</t>
        </is>
      </c>
      <c r="T6" s="39" t="inlineStr">
        <is>
          <t>H100 x8 (0-7) — device_map=auto 파이프라인 병렬. FSDP 시도했으나 LoRA(fp32)/베이스(bf16) dtype 불일치로 실패, 폴백</t>
        </is>
      </c>
      <c r="U6" s="40" t="inlineStr">
        <is>
          <t>14시간 24분 (2,794 step, 18.55 s/it). 8/18 17:15 KST 시작 → 8/19 16:38 KST 종료</t>
        </is>
      </c>
      <c r="V6" s="39" t="n">
        <v>0.1585</v>
      </c>
      <c r="W6" s="40" t="inlineStr">
        <is>
          <t>영수증 크롭 1,019 (v2/v3 재생성판)</t>
        </is>
      </c>
      <c r="X6" s="44" t="inlineStr">
        <is>
          <t>1,019 (text 921 / table 98)</t>
        </is>
      </c>
      <c r="Y6" s="39" t="n">
        <v>0</v>
      </c>
      <c r="Z6" s="39" t="n">
        <v>0.1081</v>
      </c>
      <c r="AA6" s="39" t="n">
        <v>0.6831</v>
      </c>
      <c r="AB6" s="39" t="n">
        <v>65.3</v>
      </c>
      <c r="AC6" s="39" t="n">
        <v>0.7875</v>
      </c>
      <c r="AD6" s="39" t="n">
        <v>0.8718</v>
      </c>
      <c r="AE6" s="40" t="inlineStr">
        <is>
          <t>[8/21 지표 통일] 전 행을 전량 1,019(text 921 / table 98) · 유계 CER(편집거리/max(len(GT),len(예측)), 항상 0~1)로 재산출했다. 5자 원자료 all5_1019.json. exp_005 CER 0.1081 / TEDS 0.6831(최저) / 완전일치 65.3%(601/921, 최고) / AVG 매크로 0.7875 · 마이크로 0.8718 / 폭주 CER=1.0 25건·반복루프 1건. ◆ 정정: 구정의 시절 "exp_005 의 CER 0.4655 가 exp_004 1.9313 보다 낮다"고 적었으나 뒤집혔다 — 유계 기준 exp_005 0.1081 &gt; exp_004 0.1063 으로 exp_004 가 근소 우위이며 격차는 1.7%로 사실상 동률이다. 구정의 격차 4.4배는 exp_004 의 반복루프 7건이 상한 없는 분모 탓에 평균을 삼킨 결과였다. 증강의 순효과는 텍스트 ≈ 동률 / 표 구조 ↓ 로, AVG 매크로 0.7875 는 exp_003(0.7993)·exp_004(0.8008) 아래다.</t>
        </is>
      </c>
      <c r="AF6" s="39" t="inlineStr">
        <is>
          <t>ml/runs/exp005-aug-online (최종 step2794)</t>
        </is>
      </c>
      <c r="AG6" s="40" t="inlineStr">
        <is>
          <t>receipt_data/review/full1019.json (전량). 표본 80: cmp3.json, traj.json</t>
        </is>
      </c>
      <c r="AH6" s="40" t="inlineStr">
        <is>
          <t>[증강] scripts/img_augment.py 신규. GT 불변 변환만 사용(좌우반전·90도회전·색반전 제외). 구현 중 PIL Image.QUAD 꼭짓점 순서 오류로 이미지가 찌그러지는 버그, 크롭 크기 대비 과도한 강도 문제를 미리보기로 발견·수정. [궤적] 지표별 최고 지점이 다름 — CER은 ckpt2000(0.0691)이 최고이나 계속 개선 중(미수렴), TEDS·AVG는 ckpt1500(0.7151/0.8163)이 최고. CER 0.1193→0.0824→0.0691 개선, TEDS 0.7135→0.7151→0.6826 하락으로 두 지표가 반대로 움직임. 증강이 텍스트 전사에는 도움이 되나 표 구조 인식은 방해할 가능성. 위 결과값은 AVG 최고인 ckpt1500 기준. [측정] 80건 표본에서 exp_003/004/005 차이가 모두 95% 신뢰구간 0을 포함해 통계적 구분 불가. CER 기준 40건 중 35건이 세 모델 동일 출력. 전량 1,019건 측정 필요. [기준선] exp_003 기록값 TEDS 0.7286/CER 0.1191이 동일 크롭 재측정에서 0.7496/0.0630으로 나옴 — 크롭 재생성으로 기존 기록과 직접 비교 불가. [별건] exp005_aug 21,368행(표 파생·KIE·프롬프트 8종)은 생성 완료했으나 본 실험에는 미투입.
[8/19 전량 측정으로 지표 교체] 기존 기재값은 표본 80·checkpoint-1500 기준(CER 0.0824 / TEDS 0.7151 / 완전일치 48.8% / AVG 0.8163)이었고, 위 수치는 최종 어댑터(step2794)·전량 1,019 기준이다. 표본이 달라 두 값은 이어붙일 수 없다.</t>
        </is>
      </c>
      <c r="AI6" s="8" t="n"/>
      <c r="AJ6" s="8" t="n"/>
      <c r="AK6" s="8" t="n"/>
      <c r="AL6" s="8" t="n"/>
      <c r="AM6" s="7" t="n"/>
      <c r="AN6" s="7" t="n"/>
      <c r="AO6" s="7" t="n"/>
      <c r="AP6" s="7" t="n"/>
      <c r="AQ6" s="7" t="n"/>
      <c r="AR6" s="7" t="n"/>
      <c r="AS6" s="7" t="n"/>
      <c r="AT6" s="7" t="n"/>
    </row>
    <row r="7" ht="22.5" customHeight="1">
      <c r="A7" s="38" t="inlineStr">
        <is>
          <t>exp_006</t>
        </is>
      </c>
      <c r="B7" s="39" t="inlineStr">
        <is>
          <t>8-19-2026</t>
        </is>
      </c>
      <c r="C7" s="40" t="inlineStr">
        <is>
          <t>영수증 원본 장수를 늘리면 CER 이 개선되는가. 학습용 크롭이 913개 중 892개(97.7%) 소진되고 원본 영수증이 95장뿐이라 재료가 바닥난 상태를 푸는 것이 목적. 합성 영수증 2,000장을 새로 만들고 후보 데이터 12,153장을 검증해 합쳤다. 온라인 이미지 증강은 끄고 데이터 추가 효과만 분리 측정</t>
        </is>
      </c>
      <c r="D7" s="42" t="inlineStr">
        <is>
          <t>완료</t>
        </is>
      </c>
      <c r="E7" s="39" t="inlineStr">
        <is>
          <t>Qwen3.6-35B-A3B + LoRA (학습 모델)</t>
        </is>
      </c>
      <c r="F7" s="39" t="inlineStr">
        <is>
          <t>VLM</t>
        </is>
      </c>
      <c r="G7" s="39" t="inlineStr">
        <is>
          <t>exp007_all 50,457행 = exp004c 원본 11,173 + 자체 합성 14,000(v1 스캔풍/v2 촬영풍 각 1,000장에서 파생) + 후보 25,284(korie_ocr 8,381 / receipt3000 9,520 / cord 4,978 / korie_kid 2,250 / crawl_google 155). receipt_crop_text 820 → 36,104행(44배)</t>
        </is>
      </c>
      <c r="H7" s="39" t="n">
        <v>90</v>
      </c>
      <c r="I7" s="39" t="inlineStr">
        <is>
          <t>LoRA r=16 (α32, dropout0.05)</t>
        </is>
      </c>
      <c r="J7" s="39" t="inlineStr">
        <is>
          <t>vit=T / aligner=F</t>
        </is>
      </c>
      <c r="K7" s="39" t="n">
        <v>250</v>
      </c>
      <c r="L7" s="39" t="n">
        <v>0.0001</v>
      </c>
      <c r="M7" s="39" t="inlineStr">
        <is>
          <t>cosine (warmup 140step = 5%)</t>
        </is>
      </c>
      <c r="N7" s="39" t="inlineStr">
        <is>
          <t>1 (max_steps 2,800 으로 절단 — 1epoch 6,308step 은 26시간이라 기한 초과)</t>
        </is>
      </c>
      <c r="O7" s="39" t="inlineStr">
        <is>
          <t>2×4 (유효8)</t>
        </is>
      </c>
      <c r="P7" s="39" t="n">
        <v>8192</v>
      </c>
      <c r="Q7" s="39" t="n">
        <v>1000000</v>
      </c>
      <c r="R7" s="39" t="inlineStr">
        <is>
          <t>off</t>
        </is>
      </c>
      <c r="S7" s="40" t="inlineStr">
        <is>
          <t>미지원 (transformers 5.15)</t>
        </is>
      </c>
      <c r="T7" s="39" t="inlineStr">
        <is>
          <t>H100 x8 (0-7) device_map=auto 파이프라인 병렬. FSDP 재시도했으나 학습 스텝에서 다시 dtype 불일치 — 모델 생성 직후 bf16 정렬은 통했지만 Trainer 의 bf16 혼합정밀도가 fp32 마스터 사본을 만들어 어긋난다</t>
        </is>
      </c>
      <c r="U7" s="40" t="inlineStr">
        <is>
          <t>11시간 11분 (2,800 step, 14.38 s/it). 8/19 19:00 KST 시작 → 8/20 06:10 KST 종료 (rc=0)</t>
        </is>
      </c>
      <c r="V7" s="39" t="n">
        <v>0.1898</v>
      </c>
      <c r="W7" s="40" t="inlineStr">
        <is>
          <t>영수증 크롭 1,019 (v2/v4 재생성판)</t>
        </is>
      </c>
      <c r="X7" s="44" t="inlineStr">
        <is>
          <t>1,019 (text 921 / table 98)</t>
        </is>
      </c>
      <c r="Y7" s="39" t="n">
        <v>0</v>
      </c>
      <c r="Z7" s="39" t="n">
        <v>0.1177</v>
      </c>
      <c r="AA7" s="39" t="n">
        <v>0.6916</v>
      </c>
      <c r="AB7" s="39" t="n">
        <v>64.40000000000001</v>
      </c>
      <c r="AC7" s="39" t="n">
        <v>0.787</v>
      </c>
      <c r="AD7" s="39" t="n">
        <v>0.864</v>
      </c>
      <c r="AE7" s="40" t="inlineStr">
        <is>
          <t>[8/21 지표 통일] 전 행을 전량 1,019(text 921 / table 98) · 유계 CER(편집거리/max(len(GT),len(예측)), 항상 0~1)로 재산출했다. 5자 원자료 all5_1019.json. exp_006 CER 0.1177 / TEDS 0.6916 / 완전일치 64.4% / AVG 매크로 0.7870 · 마이크로 0.8640 / 폭주 CER=1.0 42건(최다)·반복루프 0건. 데이터 5배 증량(11,173→50,457)의 순효과가 없다 — 완전일치는 exp_004(64.2%)와 동일 수준이고 exp_005(65.3%)보다 낮으며, CER·TEDS·AVG 모두 exp_004 아래다(0.1177&gt;0.1063 / 0.6916&lt;0.7079 / 0.8640&lt;0.8759). 증량분 39,284행(합성 14,000 + 후보 25,284)이 지표를 올리지 못했다. 원인은 학습셋 오염(메모 참조). ◆ 정정: 구정의 시절 "CER 평균 0.1738 로 가장 낮다"고 적었으나 유계 기준으로는 exp_004·exp_005·exp_007 보다 높다. 반복루프는 0건이나 CER=1.0 이 42건으로 가장 많다 — 크게 틀리는 대신 통째로 틀리는 쪽이다.</t>
        </is>
      </c>
      <c r="AF7" s="39" t="inlineStr">
        <is>
          <t>ml/runs/exp006-all (최종 step2800). 체크포인트 1600/2000/2400/2800</t>
        </is>
      </c>
      <c r="AG7" s="40" t="inlineStr">
        <is>
          <t>receipt_data/review/exp006_full1019.json</t>
        </is>
      </c>
      <c r="AH7" s="40" t="inlineStr">
        <is>
          <t>[데이터] 자체 합성 생성기 2종 신규 — scripts/gen_synth_receipt.py(v1 스캔풍) / gen_synth_receipt2.py(v2 손에 든 촬영풍, 감열지·바코드·손가락 가림). 어절·줄·블록·표셀 4단계 bbox 와 JSON 라벨을 함께 생성하며 좌표는 렌더링 값을 기하 변환에 통과시켜 얻어 정답이 확정적이다. 2,000장 전수 검사에서 공급가액+부가세=합계 불일치 0, 품목합=합계 불일치 0, bbox 이탈 0. 90도 회전은 평가셋(축 정렬 크롭)과 조건이 어긋나 제거했다(실측 최대 10.5도). [후보 검증] exp005_candidates 12,153장을 이미지 md5 로 대조 — 평가셋 누수 0건, 기존 학습셋 문서 겹침 0건, 이미지 중복 46건(receipt3000)만 제외. [LoRA] 요청받은 r=8/q,v,down 3종을 먼저 시도했으나 이 MoE 구조에서 LLM 파라미터가 1.8M(0.005%)까지 떨어져 폐기 — 층의 3/4 이 linear_attn 이라 q/v_proj 가 10개 층에만 걸리고 down_proj 도 shared_expert 하나만 잡힌다. 기본 10종으로 복귀(llm 19.2M). [토큰] 크롭 위주라 p50 510 토큰. max_len 8192 는 과하며 4608 로 낮출 여지가 있다.
[학습 종료] 8/20 06:10 KST(=8/19 21:10 UTC) rc=0. 2,800 step = 50,457행의 44.4%(epoch 0.4439), train_loss 0.1096 / eval_loss 0.1898. eval_loss 는 exp_005(0.1585)보다 높으나 val 셋이 원본 영수증 90장 그대로라 합성·후보 데이터가 늘어난 만큼 분포가 벌어진 결과로, 생성품질 판단은 전량 평가 후로 미룬다. [경로 정리] 8/20 KST ml/runs/exp007-all → ml/runs/exp006-all 로 rename, ml/exp007_train.log → ml/exp006_train.log, ml/runs/exp006.run.sh → exp006-all.run.sh. 학습셋 디렉터리 receipt_data/exp007_all 은 이름 그대로 두었다.
[폭주 증가] 텍스트 921건 중 구정의 CER&gt;1 이 37건(4.0%)으로 4개 실험 중 최악(exp_003 16 / exp_004 26 / exp_005 25). 데이터를 늘릴수록 폭주가 느는 경향이 뚜렷하다. [8/21 정정] 유계 CER 로 재계산하면 exp_006 0.1177 로, 최저는 exp_004(0.1063)이고 exp_005(0.1081)도 아래다 — "CER 평균이 가장 낮다"는 기존 서술은 구정의(편집거리/GT길이)에서만 성립했다. 폭주 건수는 exp_006 이 가장 많되 건당 크기는 작다는 점은 유효하다(exp_004 는 최대 512.0 의 극단이 있었고, 유계 정의에서는 그런 건이 1.0 으로 포화된다). 2026-08-20 디코딩 실험에서 no_repeat_ngram_size=8 이 폭주를 크게 줄이는 것을 확인했으나 exp_006 에는 아직 미적용 — 적용 후 재측정하면 순위가 바뀔 수 있다.</t>
        </is>
      </c>
      <c r="AI7" s="8" t="n"/>
      <c r="AJ7" s="8" t="n"/>
      <c r="AK7" s="8" t="n"/>
      <c r="AL7" s="8" t="n"/>
      <c r="AM7" s="7" t="n"/>
      <c r="AN7" s="7" t="n"/>
      <c r="AO7" s="7" t="n"/>
      <c r="AP7" s="7" t="n"/>
      <c r="AQ7" s="7" t="n"/>
      <c r="AR7" s="7" t="n"/>
      <c r="AS7" s="7" t="n"/>
      <c r="AT7" s="7" t="n"/>
    </row>
    <row r="8" ht="409.6" customHeight="1">
      <c r="A8" s="38" t="inlineStr">
        <is>
          <t>exp_007</t>
        </is>
      </c>
      <c r="B8" s="39" t="inlineStr">
        <is>
          <t>8-20-2026</t>
        </is>
      </c>
      <c r="C8" s="40" t="inlineStr">
        <is>
          <t>exp_006 학습셋의 정답 오염을 제거하면 데이터 증량 효과가 살아나는가. exp_006 은 데이터를 11,173→50,457 로 5배 늘리고도 지표가 안 올랐는데(완전일치 64.4% ≈ exp_004 64.2%, TEDS·AVG 는 하락), 원인이 학습 정답의 오염이었다. 데이터 구성은 그대로 두고 오염만 걷어내 정제 효과를 분리 측정한다.</t>
        </is>
      </c>
      <c r="D8" s="42" t="inlineStr">
        <is>
          <t>완료</t>
        </is>
      </c>
      <c r="E8" s="39" t="inlineStr">
        <is>
          <t>Qwen3.6-35B-A3B + LoRA (학습 모델)</t>
        </is>
      </c>
      <c r="F8" s="39" t="inlineStr">
        <is>
          <t>VLM</t>
        </is>
      </c>
      <c r="G8" s="39" t="inlineStr">
        <is>
          <t>exp007_all_final 48,400행 = exp007_all 50,457 − HTML 표 태그 제거 904 − 정답이 비어 삭제 853 − 글씨 가림 합성 제외 1,204. 구성비는 exp_006 과 동일(receipt_crop_text 35,251 / html_table 5,461 / parsing 2,499 / receipt_markdown 2,182 / receipt_crop_table 2,072 / page_ocr 2,000 / doc_parsing 139)</t>
        </is>
      </c>
      <c r="H8" s="39" t="n">
        <v>90</v>
      </c>
      <c r="I8" s="39" t="inlineStr">
        <is>
          <t>LoRA r=16 (α32, dropout0.05)</t>
        </is>
      </c>
      <c r="J8" s="39" t="inlineStr">
        <is>
          <t>vit=T / aligner=F</t>
        </is>
      </c>
      <c r="K8" s="39" t="n">
        <v>250</v>
      </c>
      <c r="L8" s="39" t="n">
        <v>0.0001</v>
      </c>
      <c r="M8" s="39" t="inlineStr">
        <is>
          <t>cosine (warmup 5%)</t>
        </is>
      </c>
      <c r="N8" s="39" t="n">
        <v>2</v>
      </c>
      <c r="O8" s="39" t="inlineStr">
        <is>
          <t>1×1 × world 8 (유효 8)</t>
        </is>
      </c>
      <c r="P8" s="39" t="n">
        <v>8192</v>
      </c>
      <c r="Q8" s="39" t="n">
        <v>1000000</v>
      </c>
      <c r="R8" s="39" t="inlineStr">
        <is>
          <t>on (FSDP 메모리 확보용)</t>
        </is>
      </c>
      <c r="S8" s="40" t="inlineStr">
        <is>
          <t>미지원 (transformers 5.15)</t>
        </is>
      </c>
      <c r="T8" s="39" t="inlineStr">
        <is>
          <t>H100 x8 (0-7) — FSDP 데이터 병렬. 두 번 실패했던 FSDP 를 이번에 성립시켰다: (1) Trainer 의 bf16 혼합정밀도가 fp32 마스터 사본을 만들어 dtype 균일 조건을 깨던 문제는 --pure-bf16 신규 플래그로 해결, (2) 활성값을 다 들고 있어 24스텝에서 OOM 나던 문제는 gradient checkpointing 을 켜서 해결. GPU 8장 util 95~100%</t>
        </is>
      </c>
      <c r="U8" s="40" t="inlineStr">
        <is>
          <t>6.38 s/it 실측. 1 epoch(6,050) 약 10.6시간 / 2 epoch(12,100) 약 21.3시간. 8/20 06:17 UTC 시작. 어제 exp_006(14.38 s/it) 대비 2.25배</t>
        </is>
      </c>
      <c r="V8" s="45" t="inlineStr">
        <is>
          <t xml:space="preserve">　</t>
        </is>
      </c>
      <c r="W8" s="40" t="inlineStr">
        <is>
          <t>영수증 크롭 1,019 (text 921 / table 98) — 전량, v2/v3 재생성판</t>
        </is>
      </c>
      <c r="X8" s="46" t="inlineStr">
        <is>
          <t>1,019 (text 921 / table 98)</t>
        </is>
      </c>
      <c r="Y8" s="45" t="n">
        <v>0</v>
      </c>
      <c r="Z8" s="47" t="n">
        <v>0.1155</v>
      </c>
      <c r="AA8" s="45" t="n">
        <v>0.6691</v>
      </c>
      <c r="AB8" s="45" t="n">
        <v>63.1</v>
      </c>
      <c r="AC8" s="45" t="n">
        <v>0.7768</v>
      </c>
      <c r="AD8" s="45" t="n">
        <v>0.8638</v>
      </c>
      <c r="AE8" s="45" t="inlineStr">
        <is>
          <t>[8/21 지표 통일] 전 행을 전량 1,019(text 921 / table 98) · 유계 CER(편집거리/max(len(GT),len(예측)), 항상 0~1)로 재산출했다. 5자 원자료 all5_1019.json. exp_007 CER 0.1155 / TEDS 0.6691(최저) / 완전일치 63.1%(581/921) / AVG 매크로 0.7768 · 마이크로 0.8638 / 폭주 CER=1.0 33건·반복루프 0건. 오염 제거(50,457→48,400)의 순효과: CER 은 exp_006 0.1177 → 0.1155 로 소폭 개선되고 반복루프도 0건을 유지하나, TEDS 0.6916 → 0.6691, 완전일치 64.4% → 63.1% 로 하락해 종합 AVG 매크로가 5개 중 최하다. 오염 제거만으로 데이터 증량 효과가 살아나지는 않았다 — exp_004(11,298행)가 CER·TEDS·AVG 전부 위다. 산출물: receipt_data/review/exp007_final_full1019.json</t>
        </is>
      </c>
      <c r="AF8" s="39" t="inlineStr">
        <is>
          <t>ml/runs/exp007-final</t>
        </is>
      </c>
      <c r="AG8" s="40" t="inlineStr">
        <is>
          <t>receipt_data/review/exp007_final_full1019.json (전량) / all5_1019.json (5자 비교)</t>
        </is>
      </c>
      <c r="AH8" s="40" t="inlineStr">
        <is>
          <t>[오염 발견] exp_006 학습셋의 receipt_crop_text 36,104건 중 1,757건(4.9%)의 정답에 HTML 표 태그가 들어 있었다 (&lt;td&gt;농협은행 승인번호 00076788(0)&lt;/td&gt; 형태). 출처는 후보 데이터 — korie 1,279/10,631(12.0%), crawl_google 73/155(47.1%). exp004c(exp_004·005)에는 0건이다. exp_006 이 텍스트 크롭에 &lt;td&gt;1,000&lt;/td&gt; 로 답하며 폭주 37건(4개 실험 중 최악)을 낸 것이 배운 대로 한 결과였고, "데이터 5배 증량 효과 없음"도 여기서 설명된다. 정제: scripts/clean_task_tags.py (태그 제거 904 / 정답이 비어 삭제 853), 내역 receipt_data/review/tag_clean_report.json, 시각화 receipt_data/review/tag_contamination.html
[가림 제거] 합성 v2 1,000장 중 172장에서 손가락이 어절을 90% 이상 덮었다. 정답에는 있고 이미지에는 없는 텍스트라 환각을 가르친다. 해당 문서와 파생 크롭 1,032건, 학습셋 1,204행을 제외했다. scripts/filter_occluded.py, 목록 receipt_data/review/occluded_docs.json
[주의] eval_loss 를 exp_006 과 직접 비교하지 말 것. train 토큰 p50 510 / val p50 1,331 로 분포가 달라 학습셋 구성이 바뀌면 eval_loss 가 함께 움직인다. 판정은 전량 1,019건의 완전일치·TEDS·폭주 건수로 한다.</t>
        </is>
      </c>
      <c r="AI8" s="8" t="n"/>
      <c r="AJ8" s="8" t="n"/>
      <c r="AK8" s="8" t="n"/>
      <c r="AL8" s="8" t="n"/>
      <c r="AM8" s="7" t="n"/>
      <c r="AN8" s="7" t="n"/>
      <c r="AO8" s="7" t="n"/>
      <c r="AP8" s="7" t="n"/>
      <c r="AQ8" s="7" t="n"/>
      <c r="AR8" s="7" t="n"/>
      <c r="AS8" s="7" t="n"/>
      <c r="AT8" s="7" t="n"/>
    </row>
    <row r="9">
      <c r="A9" s="38" t="inlineStr">
        <is>
          <t>exp_008</t>
        </is>
      </c>
      <c r="B9" s="39" t="inlineStr">
        <is>
          <t>8-25-2026</t>
        </is>
      </c>
      <c r="C9" s="40" t="inlineStr">
        <is>
          <t>베이스를 27B 로 바꾸면 35B-A3B(MoE) 보다 나은가. 35B-A3B 는 MoE 라 LoRA 가 250개 모듈에만 붙는 구조적 한계가 있어, dense 27B 로 400개 모듈에 붙이면 개선될 것으로 봤다.</t>
        </is>
      </c>
      <c r="D9" s="42" t="inlineStr">
        <is>
          <t>완료</t>
        </is>
      </c>
      <c r="E9" s="39" t="inlineStr">
        <is>
          <t>Qwen3.8-27B + LoRA</t>
        </is>
      </c>
      <c r="F9" s="39" t="inlineStr">
        <is>
          <t>VLM</t>
        </is>
      </c>
      <c r="G9" s="39" t="inlineStr">
        <is>
          <t>exp007_all_final 48,400행 (exp_007 과 동일 데이터 — 베이스만 교체)</t>
        </is>
      </c>
      <c r="H9" s="39" t="n">
        <v>90</v>
      </c>
      <c r="I9" s="39" t="inlineStr">
        <is>
          <t>LoRA r=16 (α32, dropout0.05)</t>
        </is>
      </c>
      <c r="J9" s="39" t="inlineStr">
        <is>
          <t>vit=T / aligner=F</t>
        </is>
      </c>
      <c r="K9" s="39" t="n">
        <v>400</v>
      </c>
      <c r="L9" s="39" t="n">
        <v>0.0001</v>
      </c>
      <c r="M9" s="39" t="inlineStr">
        <is>
          <t>cosine (warmup 5%)</t>
        </is>
      </c>
      <c r="N9" s="39" t="n">
        <v>2</v>
      </c>
      <c r="O9" s="39" t="inlineStr">
        <is>
          <t>1×1 × world 8 (유효 8)</t>
        </is>
      </c>
      <c r="P9" s="39" t="n">
        <v>8192</v>
      </c>
      <c r="Q9" s="39" t="n">
        <v>1000000</v>
      </c>
      <c r="R9" s="39" t="inlineStr">
        <is>
          <t>on</t>
        </is>
      </c>
      <c r="S9" s="40" t="inlineStr">
        <is>
          <t>미지원</t>
        </is>
      </c>
      <c r="T9" s="39" t="inlineStr">
        <is>
          <t>H100 x8 (0-7) FSDP</t>
        </is>
      </c>
      <c r="U9" s="40" t="inlineStr">
        <is>
          <t>—</t>
        </is>
      </c>
      <c r="V9" s="8" t="n"/>
      <c r="W9" s="40" t="inlineStr">
        <is>
          <t>영수증 크롭 1,019 (text 921 / table 98)</t>
        </is>
      </c>
      <c r="X9" s="46" t="inlineStr">
        <is>
          <t>1,019</t>
        </is>
      </c>
      <c r="Y9" s="45" t="n">
        <v>0</v>
      </c>
      <c r="Z9" s="47" t="n">
        <v>0.1305</v>
      </c>
      <c r="AA9" s="45" t="n">
        <v>0.6879</v>
      </c>
      <c r="AB9" s="45" t="n">
        <v>60.8</v>
      </c>
      <c r="AC9" s="8" t="n"/>
      <c r="AD9" s="8" t="n"/>
      <c r="AE9" s="8" t="n"/>
      <c r="AF9" s="39" t="inlineStr">
        <is>
          <t>ml/runs/exp008-qwen38</t>
        </is>
      </c>
      <c r="AG9" s="40" t="inlineStr">
        <is>
          <t>receipt_data/review/exp008_full1019.json</t>
        </is>
      </c>
      <c r="AH9" s="40" t="inlineStr">
        <is>
          <t>[기각] 27B 로 바꾸니 전 지표가 나빠졌다. CER 0.1155→0.1305, 완전일치 63.1→60.8. vocab 이 248,320 으로 같아 eval_loss 직접 비교가 가능했는데 35B 0.1833 &lt; 27B 0.1999 였다. 이후 실험은 35B-A3B 로 되돌린다.</t>
        </is>
      </c>
      <c r="AI9" s="8" t="n"/>
      <c r="AJ9" s="8" t="n"/>
      <c r="AK9" s="8" t="n"/>
      <c r="AL9" s="8" t="n"/>
      <c r="AM9" s="7" t="n"/>
      <c r="AN9" s="7" t="n"/>
      <c r="AO9" s="7" t="n"/>
      <c r="AP9" s="7" t="n"/>
      <c r="AQ9" s="7" t="n"/>
      <c r="AR9" s="7" t="n"/>
      <c r="AS9" s="7" t="n"/>
      <c r="AT9" s="7" t="n"/>
    </row>
    <row r="10">
      <c r="A10" s="38" t="inlineStr">
        <is>
          <t>exp_009</t>
        </is>
      </c>
      <c r="B10" s="39" t="inlineStr">
        <is>
          <t>8-25-2026</t>
        </is>
      </c>
      <c r="C10" s="40" t="inlineStr">
        <is>
          <t>1차 목표(CER≤0.097 · TEDS≥0.739) 동시 돌파. 효과 있다고 본 것을 전부 겹친다. 실제 영수증 페이지 비율과 TEDS 가 관측 구간에서 단조 증가하므로 44% 까지 올린다.</t>
        </is>
      </c>
      <c r="D10" s="42" t="inlineStr">
        <is>
          <t>완료</t>
        </is>
      </c>
      <c r="E10" s="39" t="inlineStr">
        <is>
          <t>Qwen3.6-35B-A3B + LoRA</t>
        </is>
      </c>
      <c r="F10" s="39" t="inlineStr">
        <is>
          <t>VLM</t>
        </is>
      </c>
      <c r="G10" s="39" t="inlineStr">
        <is>
          <t>exp009_full 86,256행 = 크롭 41,752(전량) + 페이지 44,504. 실제 영수증 182장 × 209회 반복(이미지당 418회 노출)</t>
        </is>
      </c>
      <c r="H10" s="39" t="n">
        <v>90</v>
      </c>
      <c r="I10" s="39" t="inlineStr">
        <is>
          <t>LoRA r=64 (α128, dropout0.05)</t>
        </is>
      </c>
      <c r="J10" s="39" t="inlineStr">
        <is>
          <t>vit=T / aligner=F</t>
        </is>
      </c>
      <c r="K10" s="39" t="n">
        <v>250</v>
      </c>
      <c r="L10" s="39" t="n">
        <v>0.0001</v>
      </c>
      <c r="M10" s="39" t="inlineStr">
        <is>
          <t>cosine (warmup 5%)</t>
        </is>
      </c>
      <c r="N10" s="39" t="n">
        <v>2</v>
      </c>
      <c r="O10" s="39" t="inlineStr">
        <is>
          <t>1×1 × world 7 (유효 7)</t>
        </is>
      </c>
      <c r="P10" s="39" t="n">
        <v>8192</v>
      </c>
      <c r="Q10" s="39" t="n">
        <v>1000000</v>
      </c>
      <c r="R10" s="39" t="inlineStr">
        <is>
          <t>on</t>
        </is>
      </c>
      <c r="S10" s="40" t="inlineStr">
        <is>
          <t>미지원</t>
        </is>
      </c>
      <c r="T10" s="39" t="inlineStr">
        <is>
          <t>H100 x7 (0-6) — GPU7 은 외부 컨테이너 점유</t>
        </is>
      </c>
      <c r="U10" s="40" t="inlineStr">
        <is>
          <t>5.9 s/it · 약 40시간 (24,646 step)</t>
        </is>
      </c>
      <c r="V10" s="8" t="n"/>
      <c r="W10" s="40" t="inlineStr">
        <is>
          <t>영수증 크롭 1,019 + SS 400건</t>
        </is>
      </c>
      <c r="X10" s="46" t="inlineStr">
        <is>
          <t>1,019 / 400</t>
        </is>
      </c>
      <c r="Y10" s="45" t="n">
        <v>0</v>
      </c>
      <c r="Z10" s="47" t="n">
        <v>0.1155</v>
      </c>
      <c r="AA10" s="45" t="n">
        <v>0.7476</v>
      </c>
      <c r="AB10" s="45" t="n">
        <v>63.5</v>
      </c>
      <c r="AC10" s="8" t="n"/>
      <c r="AD10" s="8" t="n"/>
      <c r="AE10" s="8" t="n"/>
      <c r="AF10" s="39" t="inlineStr">
        <is>
          <t>ml/runs/exp009-final24646</t>
        </is>
      </c>
      <c r="AG10" s="40" t="inlineStr">
        <is>
          <t>receipt_data/review/exp009_24646_full1019.json</t>
        </is>
      </c>
      <c r="AH10" s="40" t="inlineStr">
        <is>
          <t>[TEDS 목표 달성] 0.7476 ≥ 0.739. 반복루프 7→0 건. 다만 CER 이 exp_004(0.1063) 보다 후퇴. --load-best 가 eval_loss 기준으로 checkpoint-400 을 최종으로 뽑는 사고가 있어 24,646 step 을 명시 병합했다. 이후 --load-best 미사용.</t>
        </is>
      </c>
      <c r="AI10" s="8" t="n"/>
      <c r="AJ10" s="8" t="n"/>
      <c r="AK10" s="8" t="n"/>
      <c r="AL10" s="8" t="n"/>
      <c r="AM10" s="7" t="n"/>
      <c r="AN10" s="7" t="n"/>
      <c r="AO10" s="7" t="n"/>
      <c r="AP10" s="7" t="n"/>
      <c r="AQ10" s="7" t="n"/>
      <c r="AR10" s="7" t="n"/>
      <c r="AS10" s="7" t="n"/>
      <c r="AT10" s="7" t="n"/>
    </row>
    <row r="11">
      <c r="A11" s="38" t="inlineStr">
        <is>
          <t>exp_010</t>
        </is>
      </c>
      <c r="B11" s="39" t="inlineStr">
        <is>
          <t>8-27-2026</t>
        </is>
      </c>
      <c r="C11" s="40" t="inlineStr">
        <is>
          <t>exp_009 의 CER 후퇴가 (a) 실제 영수증 182장을 209회 반복한 과적합인지 (b) 크롭을 820→34,391 로 42배 늘린 탓인지 가른다. 둘 다 되돌리고 페이지 비율(44.13%)만 유지한다.</t>
        </is>
      </c>
      <c r="D11" s="42" t="inlineStr">
        <is>
          <t>완료</t>
        </is>
      </c>
      <c r="E11" s="39" t="inlineStr">
        <is>
          <t>Qwen3.6-35B-A3B + LoRA</t>
        </is>
      </c>
      <c r="F11" s="39" t="inlineStr">
        <is>
          <t>VLM</t>
        </is>
      </c>
      <c r="G11" s="39" t="inlineStr">
        <is>
          <t>exp010_lean 9,898행 = 실제 페이지 182×24회(4,368) + 크롭 892 + 나머지는 exp_004 구성</t>
        </is>
      </c>
      <c r="H11" s="39" t="n">
        <v>90</v>
      </c>
      <c r="I11" s="39" t="inlineStr">
        <is>
          <t>LoRA r=64 (α128, dropout0.05)</t>
        </is>
      </c>
      <c r="J11" s="39" t="inlineStr">
        <is>
          <t>vit=T / aligner=F</t>
        </is>
      </c>
      <c r="K11" s="39" t="n">
        <v>250</v>
      </c>
      <c r="L11" s="39" t="n">
        <v>6.999999999999999e-05</v>
      </c>
      <c r="M11" s="39" t="inlineStr">
        <is>
          <t>cosine (warmup 5%)</t>
        </is>
      </c>
      <c r="N11" s="39" t="n">
        <v>2</v>
      </c>
      <c r="O11" s="39" t="inlineStr">
        <is>
          <t>1×1 × world 2 (유효 2)</t>
        </is>
      </c>
      <c r="P11" s="39" t="n">
        <v>8192</v>
      </c>
      <c r="Q11" s="39" t="n">
        <v>1000000</v>
      </c>
      <c r="R11" s="39" t="inlineStr">
        <is>
          <t>on</t>
        </is>
      </c>
      <c r="S11" s="40" t="inlineStr">
        <is>
          <t>미지원</t>
        </is>
      </c>
      <c r="T11" s="39" t="inlineStr">
        <is>
          <t>H100 x2 (4,6)</t>
        </is>
      </c>
      <c r="U11" s="40" t="inlineStr">
        <is>
          <t>5.29 s/it · 15시간 39분 (9,898 step)</t>
        </is>
      </c>
      <c r="V11" s="8" t="n"/>
      <c r="W11" s="40" t="inlineStr">
        <is>
          <t>영수증 크롭 1,019 + SS 400건</t>
        </is>
      </c>
      <c r="X11" s="46" t="inlineStr">
        <is>
          <t>1,019 / 400</t>
        </is>
      </c>
      <c r="Y11" s="45" t="n">
        <v>0</v>
      </c>
      <c r="Z11" s="47" t="n">
        <v>0.1131</v>
      </c>
      <c r="AA11" s="45" t="n">
        <v>0.7335</v>
      </c>
      <c r="AB11" s="45" t="n">
        <v>63.7</v>
      </c>
      <c r="AC11" s="8" t="n"/>
      <c r="AD11" s="8" t="n"/>
      <c r="AE11" s="8" t="n"/>
      <c r="AF11" s="39" t="inlineStr">
        <is>
          <t>ml/runs/exp010-lean</t>
        </is>
      </c>
      <c r="AG11" s="40" t="inlineStr">
        <is>
          <t>receipt_data/review/exp010_full1019.json</t>
        </is>
      </c>
      <c r="AH11" s="40" t="inlineStr">
        <is>
          <t>[부분 확인] 반복 209→24회로 CER 0.1155→0.1131 회복. 그러나 크롭을 되돌리자 TEDS 0.7476→0.7335 하락 — 크롭이 TEDS 를 만든다는 뜻. SS 400건 0.868 로 exp_009 와 동점.</t>
        </is>
      </c>
      <c r="AI11" s="8" t="n"/>
      <c r="AJ11" s="8" t="n"/>
      <c r="AK11" s="8" t="n"/>
      <c r="AL11" s="8" t="n"/>
      <c r="AM11" s="7" t="n"/>
      <c r="AN11" s="7" t="n"/>
      <c r="AO11" s="7" t="n"/>
      <c r="AP11" s="7" t="n"/>
      <c r="AQ11" s="7" t="n"/>
      <c r="AR11" s="7" t="n"/>
      <c r="AS11" s="7" t="n"/>
      <c r="AT11" s="7" t="n"/>
    </row>
    <row r="12">
      <c r="A12" s="38" t="inlineStr">
        <is>
          <t>exp_011</t>
        </is>
      </c>
      <c r="B12" s="39" t="inlineStr">
        <is>
          <t>8-30-2026</t>
        </is>
      </c>
      <c r="C12" s="40" t="inlineStr">
        <is>
          <t>exp_010 과 페이지 조건(24회)을 고정하고 크롭만 820→12,000 으로 늘려 크롭의 순효과를 분리한다. TEDS 가 오르고 CER 이 유지되면 페이지 반복 없이 표 성능을 얻을 수 있다.</t>
        </is>
      </c>
      <c r="D12" s="42" t="inlineStr">
        <is>
          <t>완료</t>
        </is>
      </c>
      <c r="E12" s="39" t="inlineStr">
        <is>
          <t>Qwen3.6-35B-A3B + LoRA</t>
        </is>
      </c>
      <c r="F12" s="39" t="inlineStr">
        <is>
          <t>VLM</t>
        </is>
      </c>
      <c r="G12" s="39" t="inlineStr">
        <is>
          <t>exp011_mix 30,195행 = 크롭 12,000 + 실제 페이지 182×24회(6,196 합성 포함) + html_table 5,461 + 나머지</t>
        </is>
      </c>
      <c r="H12" s="39" t="n">
        <v>90</v>
      </c>
      <c r="I12" s="39" t="inlineStr">
        <is>
          <t>LoRA r=64 (α128, dropout0.05)</t>
        </is>
      </c>
      <c r="J12" s="39" t="inlineStr">
        <is>
          <t>vit=T / aligner=F</t>
        </is>
      </c>
      <c r="K12" s="39" t="n">
        <v>250</v>
      </c>
      <c r="L12" s="39" t="n">
        <v>6.999999999999999e-05</v>
      </c>
      <c r="M12" s="39" t="inlineStr">
        <is>
          <t>cosine (warmup 5%)</t>
        </is>
      </c>
      <c r="N12" s="39" t="n">
        <v>2</v>
      </c>
      <c r="O12" s="39" t="inlineStr">
        <is>
          <t>1×1 × world 2 (유효 2)</t>
        </is>
      </c>
      <c r="P12" s="39" t="n">
        <v>8192</v>
      </c>
      <c r="Q12" s="39" t="n">
        <v>1000000</v>
      </c>
      <c r="R12" s="39" t="inlineStr">
        <is>
          <t>on</t>
        </is>
      </c>
      <c r="S12" s="40" t="inlineStr">
        <is>
          <t>미지원</t>
        </is>
      </c>
      <c r="T12" s="39" t="inlineStr">
        <is>
          <t>H100 x2 (4,6)</t>
        </is>
      </c>
      <c r="U12" s="40" t="inlineStr">
        <is>
          <t>5.03 s/it · 44시간 49분 (30,196 step)</t>
        </is>
      </c>
      <c r="V12" s="8" t="n"/>
      <c r="W12" s="40" t="inlineStr">
        <is>
          <t>영수증 크롭 1,019 + SS 400건(측정 중)</t>
        </is>
      </c>
      <c r="X12" s="46" t="inlineStr">
        <is>
          <t>1,019</t>
        </is>
      </c>
      <c r="Y12" s="45" t="n">
        <v>0</v>
      </c>
      <c r="Z12" s="47" t="n">
        <v>0.1091</v>
      </c>
      <c r="AA12" s="45" t="n">
        <v>0.741</v>
      </c>
      <c r="AB12" s="45" t="n">
        <v>65.59999999999999</v>
      </c>
      <c r="AC12" s="8" t="n"/>
      <c r="AD12" s="8" t="n"/>
      <c r="AE12" s="8" t="n"/>
      <c r="AF12" s="39" t="inlineStr">
        <is>
          <t>ml/runs/exp011-mix</t>
        </is>
      </c>
      <c r="AG12" s="40" t="inlineStr">
        <is>
          <t>receipt_data/review/exp011_full1019.json</t>
        </is>
      </c>
      <c r="AH12" s="40" t="inlineStr">
        <is>
          <t>[최고 조합] CER·TEDS·완전일치 세 지표 모두 최상위. TEDS 0.7410 으로 목표(0.739) 달성. 가설 확인 — 크롭이 TEDS 를 만들고(0.7335→0.7410) CER 도 함께 개선(0.1131→0.1091). 반복루프 0.</t>
        </is>
      </c>
      <c r="AI12" s="8" t="n"/>
      <c r="AJ12" s="8" t="n"/>
      <c r="AK12" s="8" t="n"/>
      <c r="AL12" s="8" t="n"/>
      <c r="AM12" s="7" t="n"/>
      <c r="AN12" s="7" t="n"/>
      <c r="AO12" s="7" t="n"/>
      <c r="AP12" s="7" t="n"/>
      <c r="AQ12" s="7" t="n"/>
      <c r="AR12" s="7" t="n"/>
      <c r="AS12" s="7" t="n"/>
      <c r="AT12" s="7" t="n"/>
    </row>
    <row r="13">
      <c r="A13" s="38" t="inlineStr">
        <is>
          <t>exp_012</t>
        </is>
      </c>
      <c r="B13" s="39" t="inlineStr">
        <is>
          <t>8-31-2026</t>
        </is>
      </c>
      <c r="C13" s="40" t="inlineStr">
        <is>
          <t>영수증 데이터 재배치는 SS 에서 한계에 도달했다(exp_009·exp_010 이 400건 동점 0.868). 명세서·계산서는 학습 데이터에 유형 자체가 없어 크롭을 47배 늘려도 안 움직인다. 신규 도메인을 처음 투입한다.</t>
        </is>
      </c>
      <c r="D13" s="42" t="inlineStr">
        <is>
          <t>진행</t>
        </is>
      </c>
      <c r="E13" s="39" t="inlineStr">
        <is>
          <t>Qwen3.6-35B-A3B + LoRA</t>
        </is>
      </c>
      <c r="F13" s="39" t="inlineStr">
        <is>
          <t>VLM</t>
        </is>
      </c>
      <c r="G13" s="39" t="inlineStr">
        <is>
          <t>exp012_mix 42,686행 = exp_011 30,195 + complex-table-generator 8,000(템플릿 12종·언어 10종) + 공개 인보이스 4,491(MIT·CC BY-4.0). 영수증 계열 66.6%→47.1%</t>
        </is>
      </c>
      <c r="H13" s="39" t="n">
        <v>90</v>
      </c>
      <c r="I13" s="39" t="inlineStr">
        <is>
          <t>LoRA r=64 (α128, dropout0.05)</t>
        </is>
      </c>
      <c r="J13" s="39" t="inlineStr">
        <is>
          <t>vit=T / aligner=F</t>
        </is>
      </c>
      <c r="K13" s="39" t="n">
        <v>250</v>
      </c>
      <c r="L13" s="39" t="n">
        <v>6.999999999999999e-05</v>
      </c>
      <c r="M13" s="39" t="inlineStr">
        <is>
          <t>cosine (warmup 5%)</t>
        </is>
      </c>
      <c r="N13" s="39" t="n">
        <v>2</v>
      </c>
      <c r="O13" s="39" t="inlineStr">
        <is>
          <t>1×1 × world 2 (유효 2)</t>
        </is>
      </c>
      <c r="P13" s="39" t="n">
        <v>8192</v>
      </c>
      <c r="Q13" s="39" t="n">
        <v>1000000</v>
      </c>
      <c r="R13" s="39" t="inlineStr">
        <is>
          <t>on</t>
        </is>
      </c>
      <c r="S13" s="40" t="inlineStr">
        <is>
          <t>미지원</t>
        </is>
      </c>
      <c r="T13" s="39" t="inlineStr">
        <is>
          <t>H100 x2 (4,5)</t>
        </is>
      </c>
      <c r="U13" s="40" t="inlineStr">
        <is>
          <t>약 4.95 s/it · 약 58시간 (42,686 step) 예상</t>
        </is>
      </c>
      <c r="V13" s="8" t="n"/>
      <c r="W13" s="40" t="inlineStr">
        <is>
          <t>영수증 크롭 1,019 + SS 400건 (예정)</t>
        </is>
      </c>
      <c r="X13" s="46" t="inlineStr">
        <is>
          <t>—</t>
        </is>
      </c>
      <c r="Y13" s="8" t="n"/>
      <c r="Z13" s="8" t="n"/>
      <c r="AA13" s="8" t="n"/>
      <c r="AB13" s="8" t="n"/>
      <c r="AC13" s="8" t="n"/>
      <c r="AD13" s="8" t="n"/>
      <c r="AE13" s="8" t="n"/>
      <c r="AF13" s="39" t="inlineStr">
        <is>
          <t>ml/runs/exp012-newdomain</t>
        </is>
      </c>
      <c r="AG13" s="40" t="inlineStr">
        <is>
          <t>—</t>
        </is>
      </c>
      <c r="AH13" s="40" t="inlineStr">
        <is>
          <t>[진행 중 2026-09-03 완료 예정] 조건은 exp_010·exp_011 과 동일(유효배치 2 · lr 7e-5)이라 데이터 변경 효과만 분리된다. 라이선스 미확인 데이터는 제외했다 — NC 가 한 번 섞이면 체크포인트 전체를 상용에 못 쓴다.</t>
        </is>
      </c>
      <c r="AI13" s="8" t="n"/>
      <c r="AJ13" s="8" t="n"/>
      <c r="AK13" s="8" t="n"/>
      <c r="AL13" s="8" t="n"/>
      <c r="AM13" s="7" t="n"/>
      <c r="AN13" s="7" t="n"/>
      <c r="AO13" s="7" t="n"/>
      <c r="AP13" s="7" t="n"/>
      <c r="AQ13" s="7" t="n"/>
      <c r="AR13" s="7" t="n"/>
      <c r="AS13" s="7" t="n"/>
      <c r="AT13" s="7" t="n"/>
    </row>
    <row r="14">
      <c r="A14" s="10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7" t="n"/>
      <c r="AN14" s="7" t="n"/>
      <c r="AO14" s="7" t="n"/>
      <c r="AP14" s="7" t="n"/>
      <c r="AQ14" s="7" t="n"/>
      <c r="AR14" s="7" t="n"/>
      <c r="AS14" s="7" t="n"/>
      <c r="AT14" s="7" t="n"/>
    </row>
    <row r="15">
      <c r="A15" s="10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7" t="n"/>
      <c r="AN15" s="7" t="n"/>
      <c r="AO15" s="7" t="n"/>
      <c r="AP15" s="7" t="n"/>
      <c r="AQ15" s="7" t="n"/>
      <c r="AR15" s="7" t="n"/>
      <c r="AS15" s="7" t="n"/>
      <c r="AT15" s="7" t="n"/>
    </row>
    <row r="16">
      <c r="A16" s="10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7" t="n"/>
      <c r="AN16" s="7" t="n"/>
      <c r="AO16" s="7" t="n"/>
      <c r="AP16" s="7" t="n"/>
      <c r="AQ16" s="7" t="n"/>
      <c r="AR16" s="7" t="n"/>
      <c r="AS16" s="7" t="n"/>
      <c r="AT16" s="7" t="n"/>
    </row>
    <row r="17">
      <c r="A17" s="10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7" t="n"/>
      <c r="AN17" s="7" t="n"/>
      <c r="AO17" s="7" t="n"/>
      <c r="AP17" s="7" t="n"/>
      <c r="AQ17" s="7" t="n"/>
      <c r="AR17" s="7" t="n"/>
      <c r="AS17" s="7" t="n"/>
      <c r="AT17" s="7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</row>
  </sheetData>
  <mergeCells count="8">
    <mergeCell ref="A1:D1"/>
    <mergeCell ref="AF1:AH1"/>
    <mergeCell ref="I1:S1"/>
    <mergeCell ref="G1:H1"/>
    <mergeCell ref="E1:F1"/>
    <mergeCell ref="AK1:AL1"/>
    <mergeCell ref="T1:U1"/>
    <mergeCell ref="V1:AE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26" customWidth="1" min="1" max="1"/>
    <col width="90" customWidth="1" min="2" max="2"/>
  </cols>
  <sheetData>
    <row r="1">
      <c r="A1" s="12" t="inlineStr">
        <is>
          <t>컬럼</t>
        </is>
      </c>
      <c r="B1" s="12" t="inlineStr">
        <is>
          <t>설명 / 기입 규칙</t>
        </is>
      </c>
    </row>
    <row r="2">
      <c r="A2" s="13" t="inlineStr">
        <is>
          <t>exp_id</t>
        </is>
      </c>
      <c r="B2" s="14" t="inlineStr">
        <is>
          <t>exp_000 형식. 스모크/본학습 구분 없이 일련번호</t>
        </is>
      </c>
    </row>
    <row r="3">
      <c r="A3" s="15" t="inlineStr">
        <is>
          <t>상태</t>
        </is>
      </c>
      <c r="B3" s="16" t="inlineStr">
        <is>
          <t>계획 / 진행 / 완료 / 폐기 중 하나 (자동 색상)</t>
        </is>
      </c>
    </row>
    <row r="4">
      <c r="A4" s="15" t="inlineStr">
        <is>
          <t>가설/목적</t>
        </is>
      </c>
      <c r="B4" s="16" t="inlineStr">
        <is>
          <t>이 실험에서 확인하려는 것 한 줄 (예: freeze_aligner=false가 급/금 잡나)</t>
        </is>
      </c>
    </row>
    <row r="5">
      <c r="A5" s="15" t="inlineStr">
        <is>
          <t>태스크</t>
        </is>
      </c>
      <c r="B5" s="14" t="inlineStr">
        <is>
          <t>VLM(이미지→텍스트) / LLM(텍스트). 문서 config는 LLM 기준이라 max_length 그대로 쓰면 안 됨</t>
        </is>
      </c>
    </row>
    <row r="6">
      <c r="A6" s="15" t="inlineStr">
        <is>
          <t>비율(k:r)</t>
        </is>
      </c>
      <c r="B6" s="14" t="inlineStr">
        <is>
          <t>korie(필드크롭) : receipts(전체영수증) 학습 비율. 3:1은 크롭 쏠림</t>
        </is>
      </c>
    </row>
    <row r="7">
      <c r="A7" s="13" t="inlineStr">
        <is>
          <t>freeze_vit / freeze_aligner</t>
        </is>
      </c>
      <c r="B7" s="16" t="inlineStr">
        <is>
          <t>비전 인코더/정렬 모듈 동결 여부. LLM설정(true/true) 그대로 쓰지 말 것. VLM은 aligner부터 풀어보기</t>
        </is>
      </c>
    </row>
    <row r="8">
      <c r="A8" s="13" t="inlineStr">
        <is>
          <t>LoRA대상수</t>
        </is>
      </c>
      <c r="B8" s="14" t="inlineStr">
        <is>
          <t>LoRA 붙은 모듈 수. B행렬 전부 non-zero 확인이 스모크 통과 기준</t>
        </is>
      </c>
    </row>
    <row r="9">
      <c r="A9" s="13" t="inlineStr">
        <is>
          <t>max_px</t>
        </is>
      </c>
      <c r="B9" s="16" t="inlineStr">
        <is>
          <t>이미지 픽셀 상한. 비전토큰≈픽셀/256. 영수증엔 1~1.3M 권장(6M은 대형문서용)</t>
        </is>
      </c>
    </row>
    <row r="10">
      <c r="A10" s="13" t="inlineStr">
        <is>
          <t>grad_ckpt</t>
        </is>
      </c>
      <c r="B10" s="14" t="inlineStr">
        <is>
          <t>MoE(A3B)는 use_reentrant=False 필수(아니면 CheckpointError)</t>
        </is>
      </c>
    </row>
    <row r="11">
      <c r="A11" s="13" t="inlineStr">
        <is>
          <t>group_by_len</t>
        </is>
      </c>
      <c r="B11" s="16" t="inlineStr">
        <is>
          <t>비슷한 길이끼리 배치 → loss 튐 완화(10토큰 vs 220토큰 혼재 문제)</t>
        </is>
      </c>
    </row>
    <row r="12">
      <c r="A12" s="13" t="inlineStr">
        <is>
          <t>eval_loss</t>
        </is>
      </c>
      <c r="B12" s="14" t="inlineStr">
        <is>
          <t>teacher-forcing loss. 생성품질과 다름 → 단독 판단 금지</t>
        </is>
      </c>
    </row>
    <row r="13">
      <c r="A13" s="13" t="inlineStr">
        <is>
          <t>CER_필드(korie)</t>
        </is>
      </c>
      <c r="B13" s="16" t="inlineStr">
        <is>
          <t>필드 전사 문자오류율. 급/금·숫자 정확도 지표</t>
        </is>
      </c>
    </row>
    <row r="14">
      <c r="A14" s="15" t="inlineStr">
        <is>
          <t>숫자exact%</t>
        </is>
      </c>
      <c r="B14" s="16" t="inlineStr">
        <is>
          <t>금액 필드 정확 일치율. 영수증은 숫자 하나 틀리면 무의미 → 별도 측정 필수</t>
        </is>
      </c>
    </row>
    <row r="15">
      <c r="A15" s="15" t="inlineStr">
        <is>
          <t>표정확도(recp)</t>
        </is>
      </c>
      <c r="B15" s="16" t="inlineStr">
        <is>
          <t>전체영수증→마크다운 표의 셀/필드 exact-match 또는 TEDS</t>
        </is>
      </c>
    </row>
    <row r="16">
      <c r="A16" s="13" t="inlineStr">
        <is>
          <t>CER_clean/heavy/extreme</t>
        </is>
      </c>
      <c r="B16" s="14" t="inlineStr">
        <is>
          <t>manifest quality별 분해. heavy/extreme가 실환경 지표</t>
        </is>
      </c>
    </row>
    <row r="17">
      <c r="A17" s="13" t="inlineStr">
        <is>
          <t>base대비Δ</t>
        </is>
      </c>
      <c r="B17" s="16" t="inlineStr">
        <is>
          <t>파인튜닝 전(Qwen base) 대비 개선폭. (-)면 개선. 하나라도 나빠지면 재고</t>
        </is>
      </c>
    </row>
    <row r="18">
      <c r="A18" s="15" t="inlineStr">
        <is>
          <t>환각건수</t>
        </is>
      </c>
      <c r="B18" s="16" t="inlineStr">
        <is>
          <t>열화 이미지에서 없는 값 지어낸 수. abstention 학습 효과 지표</t>
        </is>
      </c>
    </row>
    <row r="19">
      <c r="A19" s="15" t="inlineStr">
        <is>
          <t>망각체크</t>
        </is>
      </c>
      <c r="B19" s="14" t="inlineStr">
        <is>
          <t>base가 잘하던 능력(특히 긴 숫자열) 저하 여부. 파국적 망각 감시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zoomScaleNormal="100" workbookViewId="0">
      <selection activeCell="A1" sqref="A1"/>
    </sheetView>
  </sheetViews>
  <sheetFormatPr baseColWidth="8" defaultColWidth="8.7109375" defaultRowHeight="15"/>
  <cols>
    <col width="46" customWidth="1" min="1" max="1"/>
    <col width="14" customWidth="1" min="2" max="2"/>
    <col width="26" customWidth="1" min="3" max="3"/>
    <col width="13" customWidth="1" min="4" max="4"/>
    <col width="11" customWidth="1" min="5" max="5"/>
    <col width="13" customWidth="1" min="6" max="6"/>
    <col width="15" customWidth="1" min="7" max="7"/>
    <col width="12" customWidth="1" min="8" max="8"/>
    <col width="14" customWidth="1" min="9" max="9"/>
  </cols>
  <sheetData>
    <row r="1" ht="16.5" customHeight="1">
      <c r="A1" s="53" t="inlineStr">
        <is>
          <t>실험 요약</t>
        </is>
      </c>
    </row>
    <row r="3">
      <c r="A3" s="17" t="inlineStr">
        <is>
          <t>총 실험 수</t>
        </is>
      </c>
      <c r="B3" s="18">
        <f>COUNTA(실험로그!A3:A100)</f>
        <v/>
      </c>
    </row>
    <row r="4">
      <c r="A4" s="17" t="inlineStr">
        <is>
          <t>완료</t>
        </is>
      </c>
      <c r="B4" s="18">
        <f>COUNTIF(실험로그!D3:D100,"완료")</f>
        <v/>
      </c>
    </row>
    <row r="5">
      <c r="A5" s="17" t="inlineStr">
        <is>
          <t>진행</t>
        </is>
      </c>
      <c r="B5" s="18">
        <f>COUNTIF(실험로그!D3:D100,"진행")</f>
        <v/>
      </c>
    </row>
    <row r="6">
      <c r="A6" s="17" t="inlineStr">
        <is>
          <t>계획</t>
        </is>
      </c>
      <c r="B6" s="18">
        <f>COUNTIF(실험로그!D3:D100,"계획")</f>
        <v/>
      </c>
    </row>
    <row r="7">
      <c r="A7" s="17" t="inlineStr">
        <is>
          <t>폐기</t>
        </is>
      </c>
      <c r="B7" s="18">
        <f>COUNTIF(실험로그!D3:D100,"폐기")</f>
        <v/>
      </c>
    </row>
    <row r="9">
      <c r="A9" s="19" t="inlineStr">
        <is>
          <t>※ 판단 기준</t>
        </is>
      </c>
    </row>
    <row r="10">
      <c r="A10" s="20" t="inlineStr">
        <is>
          <t>· CER 평균은 폭주(CER&gt;1) 소수 건이 지배한다 — 단독 판단 금지. 대표값은 중앙값·완전일치%</t>
        </is>
      </c>
    </row>
    <row r="11">
      <c r="A11" s="20" t="inlineStr">
        <is>
          <t>· eval_loss 로 생성품질을 판정하지 말 것 (teacher-forcing). 학습셋 구성이 바뀌면 함께 움직인다</t>
        </is>
      </c>
    </row>
    <row r="12">
      <c r="A12" s="20" t="inlineStr">
        <is>
          <t>· 전량 1,019 기준끼리만 비교. 1,036셋(exp_001·003 초기 기록)과는 직접 비교 불가</t>
        </is>
      </c>
    </row>
    <row r="13">
      <c r="A13" s="21" t="inlineStr">
        <is>
          <t>· 판정 지표: 완전일치% / TEDS / 폭주 건수 3종을 함께 본다</t>
        </is>
      </c>
    </row>
    <row r="15">
      <c r="A15" s="22" t="inlineStr">
        <is>
          <t>실험별 결과 (전량 1,019건 · v2/v3 재생성 크롭 기준)</t>
        </is>
      </c>
      <c r="B15" s="23" t="n"/>
      <c r="C15" s="23" t="n"/>
      <c r="D15" s="23" t="n"/>
      <c r="E15" s="23" t="n"/>
      <c r="F15" s="23" t="n"/>
      <c r="G15" s="23" t="n"/>
      <c r="H15" s="23" t="n"/>
    </row>
    <row r="16" ht="30" customHeight="1">
      <c r="A16" s="24" t="inlineStr">
        <is>
          <t>exp_id</t>
        </is>
      </c>
      <c r="B16" s="24" t="inlineStr">
        <is>
          <t>상태</t>
        </is>
      </c>
      <c r="C16" s="24" t="inlineStr">
        <is>
          <t>학습데이터</t>
        </is>
      </c>
      <c r="D16" s="24" t="inlineStr">
        <is>
          <t>완전일치% ↑</t>
        </is>
      </c>
      <c r="E16" s="24" t="inlineStr">
        <is>
          <t>TEDS ↑</t>
        </is>
      </c>
      <c r="F16" s="24" t="inlineStr">
        <is>
          <t>CER 중앙값 ↓</t>
        </is>
      </c>
      <c r="G16" s="24" t="inlineStr">
        <is>
          <t>CER 평균(참고)</t>
        </is>
      </c>
      <c r="H16" s="24" t="inlineStr">
        <is>
          <t>폭주 CER&gt;1</t>
        </is>
      </c>
      <c r="I16" s="24" t="inlineStr">
        <is>
          <t>AVG 마이크로 ↑</t>
        </is>
      </c>
    </row>
    <row r="17">
      <c r="A17" s="25" t="inlineStr">
        <is>
          <t>exp_003</t>
        </is>
      </c>
      <c r="B17" s="26" t="inlineStr">
        <is>
          <t>완료</t>
        </is>
      </c>
      <c r="C17" s="27" t="inlineStr">
        <is>
          <t>4,496행</t>
        </is>
      </c>
      <c r="D17" s="57" t="n">
        <v>57.2</v>
      </c>
      <c r="E17" s="58" t="n">
        <v>0.7287</v>
      </c>
      <c r="F17" s="59" t="n">
        <v>0</v>
      </c>
      <c r="G17" s="59" t="n">
        <v>0.2324</v>
      </c>
      <c r="H17" s="31" t="n">
        <v>16</v>
      </c>
      <c r="I17" s="59" t="n">
        <v>0.8425</v>
      </c>
    </row>
    <row r="18">
      <c r="A18" s="25" t="inlineStr">
        <is>
          <t>exp_004</t>
        </is>
      </c>
      <c r="B18" s="26" t="inlineStr">
        <is>
          <t>완료</t>
        </is>
      </c>
      <c r="C18" s="27" t="inlineStr">
        <is>
          <t>11,298행</t>
        </is>
      </c>
      <c r="D18" s="57" t="n">
        <v>64.2</v>
      </c>
      <c r="E18" s="59" t="n">
        <v>0.7079</v>
      </c>
      <c r="F18" s="59" t="n">
        <v>0</v>
      </c>
      <c r="G18" s="59" t="n">
        <v>1.9313</v>
      </c>
      <c r="H18" s="31" t="n">
        <v>26</v>
      </c>
      <c r="I18" s="58" t="n">
        <v>0.8645</v>
      </c>
    </row>
    <row r="19">
      <c r="A19" s="25" t="inlineStr">
        <is>
          <t>exp_005</t>
        </is>
      </c>
      <c r="B19" s="26" t="inlineStr">
        <is>
          <t>완료</t>
        </is>
      </c>
      <c r="C19" s="27" t="inlineStr">
        <is>
          <t>11,173행 + 온라인증강</t>
        </is>
      </c>
      <c r="D19" s="57" t="n">
        <v>65.3</v>
      </c>
      <c r="E19" s="59" t="n">
        <v>0.6831</v>
      </c>
      <c r="F19" s="59" t="n">
        <v>0</v>
      </c>
      <c r="G19" s="59" t="n">
        <v>0.4655</v>
      </c>
      <c r="H19" s="31" t="n">
        <v>25</v>
      </c>
      <c r="I19" s="59" t="n">
        <v>0.8587</v>
      </c>
    </row>
    <row r="20">
      <c r="A20" s="25" t="inlineStr">
        <is>
          <t>exp_006</t>
        </is>
      </c>
      <c r="B20" s="26" t="inlineStr">
        <is>
          <t>완료</t>
        </is>
      </c>
      <c r="C20" s="27" t="inlineStr">
        <is>
          <t>50,457행 (오염본)</t>
        </is>
      </c>
      <c r="D20" s="57" t="n">
        <v>64.40000000000001</v>
      </c>
      <c r="E20" s="59" t="n">
        <v>0.6916</v>
      </c>
      <c r="F20" s="59" t="n">
        <v>0</v>
      </c>
      <c r="G20" s="58" t="n">
        <v>0.1738</v>
      </c>
      <c r="H20" s="31" t="n">
        <v>37</v>
      </c>
      <c r="I20" s="59" t="n">
        <v>0.8551</v>
      </c>
    </row>
    <row r="21">
      <c r="A21" s="25" t="inlineStr">
        <is>
          <t>exp_007</t>
        </is>
      </c>
      <c r="B21" s="26" t="inlineStr">
        <is>
          <t>진행</t>
        </is>
      </c>
      <c r="C21" s="27" t="inlineStr">
        <is>
          <t>48,400행 (정제본)</t>
        </is>
      </c>
      <c r="D21" s="32" t="inlineStr">
        <is>
          <t>—</t>
        </is>
      </c>
      <c r="E21" s="31" t="inlineStr">
        <is>
          <t>—</t>
        </is>
      </c>
      <c r="F21" s="31" t="inlineStr">
        <is>
          <t>—</t>
        </is>
      </c>
      <c r="G21" s="31" t="inlineStr">
        <is>
          <t>—</t>
        </is>
      </c>
      <c r="H21" s="31" t="inlineStr">
        <is>
          <t>—</t>
        </is>
      </c>
      <c r="I21" s="31" t="inlineStr">
        <is>
          <t>—</t>
        </is>
      </c>
    </row>
    <row r="23">
      <c r="A23" s="33" t="inlineStr">
        <is>
          <t>※ 주요 발견</t>
        </is>
      </c>
    </row>
    <row r="24">
      <c r="A24" s="21" t="inlineStr">
        <is>
          <t>· exp_006 — 데이터 5배 증량(11,173→50,457)의 순효과 없음. 원인은 학습셋 오염:</t>
        </is>
      </c>
    </row>
    <row r="25">
      <c r="A25" s="21" t="inlineStr">
        <is>
          <t xml:space="preserve">   receipt_crop_text 36,104건 중 1,757건(4.9%)의 정답에 HTML 표 태그(&lt;td&gt;) 혼입.</t>
        </is>
      </c>
    </row>
    <row r="26">
      <c r="A26" s="34" t="inlineStr">
        <is>
          <t xml:space="preserve">   출처는 후보 데이터 (korie 12.0% / crawl_google 47.1%). exp004c 에는 0건.</t>
        </is>
      </c>
    </row>
    <row r="27">
      <c r="A27" s="34" t="inlineStr">
        <is>
          <t xml:space="preserve">   → 폭주 37건(4개 실험 중 최악)은 배운 대로 답한 결과.</t>
        </is>
      </c>
    </row>
    <row r="28">
      <c r="A28" s="21" t="inlineStr">
        <is>
          <t>· exp_007 — 오염 제거본(48,400행)으로 재학습 중. FSDP 데이터 병렬 성립:</t>
        </is>
      </c>
    </row>
    <row r="29">
      <c r="A29" s="21" t="inlineStr">
        <is>
          <t xml:space="preserve">   --pure-bf16 로 dtype 불일치 해결 + gradient checkpointing 으로 OOM 해결.</t>
        </is>
      </c>
    </row>
    <row r="30">
      <c r="A30" s="21" t="inlineStr">
        <is>
          <t xml:space="preserve">   6.38 s/it — exp_006(14.38 s/it) 대비 2.25배. GPU 8장 util 95~100%.</t>
        </is>
      </c>
    </row>
    <row r="31">
      <c r="A31" s="21" t="inlineStr">
        <is>
          <t>· 증강(exp_005) 순효과 — 텍스트 정확도 ↑ / 표 구조 ↓ 로 갈림. AVG 매크로는 최하.</t>
        </is>
      </c>
    </row>
    <row r="32">
      <c r="A32" s="21" t="inlineStr">
        <is>
          <t>· 디코딩 no_repeat_ngram_size=8 이 폭주를 크게 줄임 (2026-08-20 확인, 미적용).</t>
        </is>
      </c>
    </row>
    <row r="34">
      <c r="A34" s="33" t="inlineStr">
        <is>
          <t>※ 내부 목표 (고객 요구사항 확정 전 임시)</t>
        </is>
      </c>
    </row>
    <row r="35">
      <c r="A35" s="21" t="inlineStr">
        <is>
          <t>· 1차 — 완전일치 ≥ 67% · TEDS ≥ 0.73 · 폭주 ≤ 20건 동시 달성 (현 최고치 상회)</t>
        </is>
      </c>
    </row>
    <row r="36">
      <c r="A36" s="21" t="inlineStr">
        <is>
          <t>· 최종 — 완전일치 ≥ 85% · TEDS ≥ 0.85</t>
        </is>
      </c>
    </row>
    <row r="37">
      <c r="A37" s="21" t="inlineStr">
        <is>
          <t>· 요구사항 구체화 시 재조정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2026-08-06T06:16:59Z</dcterms:created>
  <dcterms:modified xmlns:dcterms="http://purl.org/dc/terms/" xmlns:xsi="http://www.w3.org/2001/XMLSchema-instance" xsi:type="dcterms:W3CDTF">2026-08-31T08:11:54Z</dcterms:modified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0x010100FA2F38F024E27E4882B8488722D0246E</vt:lpwstr>
  </property>
  <property name="MediaServiceImageTags" fmtid="{D5CDD505-2E9C-101B-9397-08002B2CF9AE}" pid="3">
    <vt:lpwstr xmlns:vt="http://schemas.openxmlformats.org/officeDocument/2006/docPropsVTypes"/>
  </property>
</Properties>
</file>