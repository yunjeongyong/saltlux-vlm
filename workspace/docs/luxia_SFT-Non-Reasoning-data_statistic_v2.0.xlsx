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https://saltlux.sharepoint.com/sites/research-team1/Shared Documents/000_프로젝트/01_루시아LLM/1_최종산출물/0_학습데이터/02_sft_dataset_statistic/"/>
    </mc:Choice>
  </mc:AlternateContent>
  <xr:revisionPtr revIDLastSave="130" documentId="13_ncr:1_{8C47D802-4A38-2840-BF1A-6876012EDB3E}" xr6:coauthVersionLast="47" xr6:coauthVersionMax="47" xr10:uidLastSave="{B351738E-DCE7-439B-9DF4-B0C84BB11089}"/>
  <bookViews>
    <workbookView xWindow="4740" yWindow="1220" windowWidth="42700" windowHeight="19540" firstSheet="4" activeTab="3" xr2:uid="{00000000-000D-0000-FFFF-FFFF00000000}"/>
  </bookViews>
  <sheets>
    <sheet name="Method Statistics" sheetId="1" r:id="rId1"/>
    <sheet name="Prompt Length" sheetId="2" r:id="rId2"/>
    <sheet name="Completion Length" sheetId="3" r:id="rId3"/>
    <sheet name="Task Statistics" sheetId="4" r:id="rId4"/>
    <sheet name="Dataset name Statistic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4" l="1"/>
  <c r="M15" i="4"/>
  <c r="M6" i="4"/>
  <c r="M7" i="4"/>
  <c r="M8" i="4"/>
  <c r="M9" i="4"/>
  <c r="M10" i="4"/>
  <c r="M11" i="4"/>
  <c r="M12" i="4"/>
  <c r="M13" i="4"/>
  <c r="M14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5" i="4"/>
  <c r="G45" i="4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5" i="5"/>
  <c r="J5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E46" i="4"/>
  <c r="G46" i="4"/>
  <c r="H46" i="4"/>
  <c r="J46" i="4"/>
  <c r="K46" i="4"/>
  <c r="D46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5" i="4"/>
  <c r="I46" i="4" l="1"/>
  <c r="L46" i="4"/>
  <c r="F46" i="4"/>
</calcChain>
</file>

<file path=xl/sharedStrings.xml><?xml version="1.0" encoding="utf-8"?>
<sst xmlns="http://schemas.openxmlformats.org/spreadsheetml/2006/main" count="507" uniqueCount="336">
  <si>
    <t>Method</t>
  </si>
  <si>
    <t>private</t>
  </si>
  <si>
    <t>public</t>
  </si>
  <si>
    <t>domain-specific</t>
  </si>
  <si>
    <t>completion_regenerate</t>
  </si>
  <si>
    <t>human</t>
  </si>
  <si>
    <t>open</t>
  </si>
  <si>
    <t>synthetic</t>
  </si>
  <si>
    <t>Prompt Length Range</t>
  </si>
  <si>
    <t>0-499</t>
  </si>
  <si>
    <t>500-999</t>
  </si>
  <si>
    <t>1000-1499</t>
  </si>
  <si>
    <t>1500-1999</t>
  </si>
  <si>
    <t>2000-2499</t>
  </si>
  <si>
    <t>2500-2999</t>
  </si>
  <si>
    <t>3000-3499</t>
  </si>
  <si>
    <t>3500-3999</t>
  </si>
  <si>
    <t>4000-4499</t>
  </si>
  <si>
    <t>4500-4999</t>
  </si>
  <si>
    <t>5000-5499</t>
  </si>
  <si>
    <t>5500-5999</t>
  </si>
  <si>
    <t>6000-6499</t>
  </si>
  <si>
    <t>6500-6999</t>
  </si>
  <si>
    <t>7000-7499</t>
  </si>
  <si>
    <t>7500-7999</t>
  </si>
  <si>
    <t>8000-8499</t>
  </si>
  <si>
    <t>8500-8999</t>
  </si>
  <si>
    <t>9000-9499</t>
  </si>
  <si>
    <t>9500-9999</t>
  </si>
  <si>
    <t>10000-10499</t>
  </si>
  <si>
    <t>10500-10999</t>
  </si>
  <si>
    <t>11000-11499</t>
  </si>
  <si>
    <t>11500-11999</t>
  </si>
  <si>
    <t>12000-12499</t>
  </si>
  <si>
    <t>12500-12999</t>
  </si>
  <si>
    <t>13000-13499</t>
  </si>
  <si>
    <t>13500-13999</t>
  </si>
  <si>
    <t>14000-14499</t>
  </si>
  <si>
    <t>14500-14999</t>
  </si>
  <si>
    <t>15000-15499</t>
  </si>
  <si>
    <t>15500-15999</t>
  </si>
  <si>
    <t>16000-16499</t>
  </si>
  <si>
    <t>Completion Length Range</t>
  </si>
  <si>
    <t>v0.12</t>
  </si>
  <si>
    <t>Total</t>
  </si>
  <si>
    <t>task</t>
  </si>
  <si>
    <t>task_details</t>
  </si>
  <si>
    <t>KOR</t>
  </si>
  <si>
    <t>ENG</t>
  </si>
  <si>
    <t>Total</t>
    <phoneticPr fontId="2" type="noConversion"/>
  </si>
  <si>
    <t>math</t>
  </si>
  <si>
    <t>problem_creation</t>
  </si>
  <si>
    <t>problem_solving</t>
  </si>
  <si>
    <t>coding</t>
  </si>
  <si>
    <t>code_debugging</t>
  </si>
  <si>
    <t>code_execution</t>
  </si>
  <si>
    <t>code_generation</t>
  </si>
  <si>
    <t>code_translation</t>
  </si>
  <si>
    <t>science</t>
  </si>
  <si>
    <t>explanation</t>
  </si>
  <si>
    <t>logical</t>
  </si>
  <si>
    <t>logic_puzzle</t>
  </si>
  <si>
    <t>multistep_reasoning</t>
  </si>
  <si>
    <t>qa</t>
  </si>
  <si>
    <t>binary</t>
  </si>
  <si>
    <t>general</t>
  </si>
  <si>
    <t>multiple_choice</t>
  </si>
  <si>
    <t>others</t>
  </si>
  <si>
    <t>short_answer</t>
  </si>
  <si>
    <t>writing</t>
  </si>
  <si>
    <t>creative_writing</t>
  </si>
  <si>
    <t>report_writing</t>
  </si>
  <si>
    <t>script_writing</t>
  </si>
  <si>
    <t>summary</t>
  </si>
  <si>
    <t>email_summarize</t>
  </si>
  <si>
    <t>translation</t>
  </si>
  <si>
    <t>email_translation</t>
  </si>
  <si>
    <t>en2ko</t>
  </si>
  <si>
    <t>ko2en</t>
  </si>
  <si>
    <t>role_playing</t>
  </si>
  <si>
    <t>character-rp</t>
  </si>
  <si>
    <t>instruction-rp</t>
  </si>
  <si>
    <t>instruction_following</t>
  </si>
  <si>
    <t>complex_instructions</t>
  </si>
  <si>
    <t>constraints_following</t>
  </si>
  <si>
    <t>structured_outputs</t>
  </si>
  <si>
    <t>rag</t>
  </si>
  <si>
    <t>multi_document_qa</t>
  </si>
  <si>
    <t>single_document_qa</t>
  </si>
  <si>
    <t>nlp</t>
  </si>
  <si>
    <t>classification</t>
  </si>
  <si>
    <t>cqr</t>
  </si>
  <si>
    <t>extraction</t>
  </si>
  <si>
    <t>query_decomposition</t>
  </si>
  <si>
    <t>query_expansion</t>
  </si>
  <si>
    <t>term_mapping</t>
  </si>
  <si>
    <t>tool_use</t>
  </si>
  <si>
    <t>function_calling</t>
  </si>
  <si>
    <t>planning</t>
  </si>
  <si>
    <t>research</t>
  </si>
  <si>
    <t>identity</t>
  </si>
  <si>
    <t>long-context</t>
  </si>
  <si>
    <t>long-reading</t>
  </si>
  <si>
    <t>long-wrting</t>
  </si>
  <si>
    <t xml:space="preserve">Total </t>
  </si>
  <si>
    <t>dataset_name</t>
    <phoneticPr fontId="2" type="noConversion"/>
  </si>
  <si>
    <t>public_orca-math-korean-preference</t>
  </si>
  <si>
    <t>luxia2_koran_localization_Math</t>
  </si>
  <si>
    <t>luxia2_logical_Math</t>
  </si>
  <si>
    <t>luxia3_IF-bilingual-sft_Korean_MathInstruct_v1.0</t>
  </si>
  <si>
    <t>open_tulu-3-sft-personas-math-grade-filtered_v0.1</t>
  </si>
  <si>
    <t>private_luxia2_general2_Math</t>
  </si>
  <si>
    <t>public_AM-DeepSeek-R1-0528_Distilled_math_8k</t>
  </si>
  <si>
    <t>public_DeepMath-103K_8k</t>
  </si>
  <si>
    <t>public_EverythingLM-data-V2-Ko_Math</t>
  </si>
  <si>
    <t>public_Korean_OpenThought_Math_8k</t>
  </si>
  <si>
    <t>public_Qwen3_Distilled_math_8k</t>
  </si>
  <si>
    <t>public_gsm8k-ko-reasoning</t>
  </si>
  <si>
    <t>public_hendrycks_math_v1.0</t>
  </si>
  <si>
    <t>public_korean_finetome</t>
  </si>
  <si>
    <t>public_no_robots_Math</t>
  </si>
  <si>
    <t>public_orca-agentinstruct-1M-v1-cleaned_Math</t>
  </si>
  <si>
    <t>public_public_nemotron_medium_math</t>
  </si>
  <si>
    <t>public_s1k-1.1-Ko-ReGenerated_math_8k</t>
  </si>
  <si>
    <t>public_tulu-3-sft-personas-algebra</t>
  </si>
  <si>
    <t>public_Open_ko_r1_Coding</t>
  </si>
  <si>
    <t>luxia2_koran_localization_Coding</t>
  </si>
  <si>
    <t>luxia2_logical_Coding</t>
  </si>
  <si>
    <t>private_luxia2_general2_Coding</t>
  </si>
  <si>
    <t>public_AM-DeepSeek-R1-0528_Distilled_code_8k</t>
  </si>
  <si>
    <t>public_EverythingLM-data-V2-Ko_Coding</t>
  </si>
  <si>
    <t>public_Korean_OpenThought_Coding_8k</t>
  </si>
  <si>
    <t>public_M-ADeepSeek-R1-0528_Distilled_code_8k</t>
  </si>
  <si>
    <t>public_Qwen3_Distilled_code_8k</t>
  </si>
  <si>
    <t>public_no_robots_Coding</t>
  </si>
  <si>
    <t>public_orca-agentinstruct-1M-v1-cleaned_Coding</t>
  </si>
  <si>
    <t>public_public_nemotron_competitive_coding_cpp</t>
  </si>
  <si>
    <t>public_public_nemotron_competitive_coding_python</t>
  </si>
  <si>
    <t>public_public_nemotron_infinibyte_coding</t>
  </si>
  <si>
    <t>public_tulu-3-sft-personas-code</t>
  </si>
  <si>
    <t>luxia3_IF-bilingual-sft_Korean_Mixture_v1.0</t>
  </si>
  <si>
    <t>luxia3_luxia3-deep_science_ko_8k</t>
  </si>
  <si>
    <t>public_AM-DeepSeek-R1-0528_Distilled_science_8k</t>
  </si>
  <si>
    <t>public_Korean_OpenThought_Science_8k</t>
  </si>
  <si>
    <t>public_OpenScienceReasoning-2</t>
  </si>
  <si>
    <t>public_Qwen3_Distilled_science_8k</t>
  </si>
  <si>
    <t>public_SCP-116K_science_8k</t>
  </si>
  <si>
    <t>public_s1k-1.1-Ko-ReGenerated_science_8k</t>
  </si>
  <si>
    <t>public_sonnet3.5_science_conversations</t>
  </si>
  <si>
    <t>public_LOGIC-701</t>
  </si>
  <si>
    <t>luxia3_gemini-3.0_kor_synthetic_logical</t>
  </si>
  <si>
    <t>luxia3_self_instruct_logical_part2</t>
  </si>
  <si>
    <t>luxia3_self_instruct_logical_part3</t>
  </si>
  <si>
    <t>private_self_instruct_logical</t>
  </si>
  <si>
    <t>public_CoT-Collection</t>
  </si>
  <si>
    <t>public_dolphin-r1</t>
  </si>
  <si>
    <t>public_logician</t>
  </si>
  <si>
    <t>public_natural_reasoning</t>
  </si>
  <si>
    <t>public_orca-agentinstruct-1M-v1-cleaned_Logical</t>
  </si>
  <si>
    <t>slx_public_Reasoning_Task</t>
  </si>
  <si>
    <t>luxia3_self_instruct_qa_binary</t>
  </si>
  <si>
    <t>luxia2_logical_QA</t>
  </si>
  <si>
    <t>luxia2_multi-turn</t>
  </si>
  <si>
    <t>luxia3_IF-bilingual-sft_Korean_Magpie_v1.0</t>
  </si>
  <si>
    <t>luxia3_IF-bilingual-sft_Korean_OpenHermes_v1.0</t>
  </si>
  <si>
    <t>luxia3_IF-bilingual-sft_Korean_PubMedQA_v1.0</t>
  </si>
  <si>
    <t>luxia3_StonyBrookNLP_tellmewhy_kor</t>
  </si>
  <si>
    <t>luxia3_gemini-3.0_kor_synthetic_qa</t>
  </si>
  <si>
    <t>luxia3_luxia3-deep_general_QA</t>
  </si>
  <si>
    <t>luxia3_numsense_sft</t>
  </si>
  <si>
    <t>luxia3_self_instruct_qa</t>
  </si>
  <si>
    <t>luxia3_slx_Financial_qa</t>
  </si>
  <si>
    <t>luxia3_slx_HealthSearchQA-ko</t>
  </si>
  <si>
    <t>luxia3_slx_enum_data</t>
  </si>
  <si>
    <t>luxia3_slx_nia_finance_cot</t>
  </si>
  <si>
    <t>private_luxia2_domain_QA</t>
  </si>
  <si>
    <t>private_luxia2_general2_QA</t>
  </si>
  <si>
    <t>public_EverythingLM-data-V2-Ko_QA</t>
  </si>
  <si>
    <t>public_HAERAE-HUB_KUDGE</t>
  </si>
  <si>
    <t>public_HAERAE-HUB_Ko-PIQA</t>
  </si>
  <si>
    <t>public_HAERAE-HUB_Korean-Human-Judgements</t>
  </si>
  <si>
    <t>public_Nemotron-Instruction-Following-Chat_chat</t>
  </si>
  <si>
    <t>public_Qwen3_Distilled_other_8k</t>
  </si>
  <si>
    <t>public_aihub_kor_performance</t>
  </si>
  <si>
    <t>public_conifer</t>
  </si>
  <si>
    <t>public_good-korean-dataset-QA_gpt-4.1</t>
  </si>
  <si>
    <t>public_ko-alpaca</t>
  </si>
  <si>
    <t>public_ko-qa_gold_long-completion</t>
  </si>
  <si>
    <t>public_koVast</t>
  </si>
  <si>
    <t>public_ko_QA_dataset_gpt-4.1</t>
  </si>
  <si>
    <t>public_korean-mcfaq_gpt-4.1</t>
  </si>
  <si>
    <t>public_korean-reasoning-v01_general_QA</t>
  </si>
  <si>
    <t>public_lawqa_ko_gpt-4.1</t>
  </si>
  <si>
    <t>public_lighteval_siqa_gpt4.1</t>
  </si>
  <si>
    <t>public_long_context_QA</t>
  </si>
  <si>
    <t>public_math-ko-qa_gpt-4.1</t>
  </si>
  <si>
    <t>public_no_robots_QA</t>
  </si>
  <si>
    <t>public_open_Joke-explaination_gpt-4.1</t>
  </si>
  <si>
    <t>public_orca-agentinstruct-1M-v1-cleaned_QA</t>
  </si>
  <si>
    <t>public_q_a_korean_futsal_gpt-4.1</t>
  </si>
  <si>
    <t>public_qarv-instruct-ko</t>
  </si>
  <si>
    <t>public_slx_AI_healthcare_QA_samples_Sonnet3.5</t>
  </si>
  <si>
    <t>public_slx_enum_data_translated</t>
  </si>
  <si>
    <t>public_slx_law_qa_synthetic</t>
  </si>
  <si>
    <t>public_slx_medical-o1-reasoning-SFT</t>
  </si>
  <si>
    <t>public_smol_koreantalk</t>
  </si>
  <si>
    <t>public_smoltalk2_smollm3_smol_magpie_ultra_no_think</t>
  </si>
  <si>
    <t>public_suri</t>
  </si>
  <si>
    <t>slx_luxia3_Korean_financial_qa</t>
  </si>
  <si>
    <t>slx_public_FineTalk-19k</t>
  </si>
  <si>
    <t>public_A.X-4.0_kmmlu_cot_train</t>
  </si>
  <si>
    <t>public_Qwen3-32B_mmlu_cot_train</t>
  </si>
  <si>
    <t>public_public_nemotron_science_MCQ</t>
  </si>
  <si>
    <t>public_zen-E_CommonsenseQA-GPT4omini</t>
  </si>
  <si>
    <t>luxia2_pretrain-source</t>
  </si>
  <si>
    <t>private_acrostic_poem-chat-filtered</t>
  </si>
  <si>
    <t>luxia3_gemini-3.0_kor_synthetic_creative_writing</t>
  </si>
  <si>
    <t>private_final_writing_v2_Writing</t>
  </si>
  <si>
    <t>public_orca-agentinstruct-1M-v1-cleaned_Writing</t>
  </si>
  <si>
    <t>rag_based_writing</t>
  </si>
  <si>
    <t>interaction_quiz</t>
  </si>
  <si>
    <t>luxia2_long_Writing</t>
  </si>
  <si>
    <t>luxia3_self_instruct_writing</t>
  </si>
  <si>
    <t>ppt_gen</t>
  </si>
  <si>
    <t>private_goover_research_writing</t>
  </si>
  <si>
    <t>private_luxia2_dialogue_Writing</t>
  </si>
  <si>
    <t>public_Open_ko_r1_Writing</t>
  </si>
  <si>
    <t>public_Xlel_wd-inst</t>
  </si>
  <si>
    <t>opinion_drafting</t>
  </si>
  <si>
    <t>patent_application_writing</t>
  </si>
  <si>
    <t>private_authoritative_clause_interpretation</t>
  </si>
  <si>
    <t>private_final_writing</t>
  </si>
  <si>
    <t>private_patent_writing_Writing</t>
  </si>
  <si>
    <t>private_report_writing</t>
  </si>
  <si>
    <t>draft_gen</t>
  </si>
  <si>
    <t>script_edit</t>
  </si>
  <si>
    <t>private_email_sum</t>
  </si>
  <si>
    <t>luxia2_long_Summary</t>
  </si>
  <si>
    <t>luxia2_task</t>
  </si>
  <si>
    <t>luxia3_multi_docs_summarization</t>
  </si>
  <si>
    <t>news_title_generate</t>
  </si>
  <si>
    <t>private_case_summary</t>
  </si>
  <si>
    <t>private_luxia2_dialogue_Summary</t>
  </si>
  <si>
    <t>private_patent_writing_Summary</t>
  </si>
  <si>
    <t>public_CNN-Daily-MailT</t>
  </si>
  <si>
    <t>public_SODA-inst</t>
  </si>
  <si>
    <t>public_no_robots_Summary</t>
  </si>
  <si>
    <t>public_slx_law_summary_synthetic</t>
  </si>
  <si>
    <t>slx_public_Summary</t>
  </si>
  <si>
    <t>private_luxia2.5</t>
  </si>
  <si>
    <t>private_translation_en2ko</t>
  </si>
  <si>
    <t>private_translation_ko2en</t>
  </si>
  <si>
    <t>luxia2.5_translation_open</t>
  </si>
  <si>
    <t>luxia2_translation</t>
  </si>
  <si>
    <t>luxia3_long_context_translation</t>
  </si>
  <si>
    <t>private_kins</t>
  </si>
  <si>
    <t>luxia3_gemini-3.0_kor_synthetic_character-rp</t>
  </si>
  <si>
    <t>luxia3_gemini-3.0_kor_synthetic_character-rp_system</t>
  </si>
  <si>
    <t>luxia3_self_instruct_role-playing_character-rp_system</t>
  </si>
  <si>
    <t>public_GPTeacher-Roleplay-Instruct-v21</t>
  </si>
  <si>
    <t>public_IlyaGusev_gpt_roleplay_realm_en</t>
  </si>
  <si>
    <t>public_roleplay-instructions</t>
  </si>
  <si>
    <t>ko_persona_instruction</t>
  </si>
  <si>
    <t>luxia3_gemini-3.0_kor_synthetic_instruction-rp</t>
  </si>
  <si>
    <t>luxia3_gemini-3.0_kor_synthetic_instruction-rp_system</t>
  </si>
  <si>
    <t>private_halla_education_persona</t>
  </si>
  <si>
    <t>public_GPTeacher_roleplay_list_dict</t>
  </si>
  <si>
    <t>public_qa-chat-persona-education</t>
  </si>
  <si>
    <t>public_roleplay-io</t>
  </si>
  <si>
    <t>public_system_chat</t>
  </si>
  <si>
    <t>luxia3_slx_complex_qa_instruction_v1.0</t>
  </si>
  <si>
    <t>luxia3_slx_complex_qa_system_instruction_v1.0</t>
  </si>
  <si>
    <t>public_slx_complex_rag_instruction_eng</t>
  </si>
  <si>
    <t>public_slx_complex_rag_instruction_kor</t>
  </si>
  <si>
    <t>luxia3_gemini-3.0_kor_synthetic_instruction_following</t>
  </si>
  <si>
    <t>luxia3_nemotron_IF_kor_synthetic_v1.0</t>
  </si>
  <si>
    <t>luxia3_self_instruct_instruction_following</t>
  </si>
  <si>
    <t>news_article_generate</t>
  </si>
  <si>
    <t>public_AM-DeepSeek-R1-0528_Distilled_if_8k</t>
  </si>
  <si>
    <t>public_IFBench_multi-turn</t>
  </si>
  <si>
    <t>public_IFEval_o3-mini_gold_50_paraphrase</t>
  </si>
  <si>
    <t>public_Ko_IFEval_in-house</t>
  </si>
  <si>
    <t>public_Nemotron-Instruction-Following-Chat_if</t>
  </si>
  <si>
    <t>public_Qwen3_Distilled_if_8k</t>
  </si>
  <si>
    <t>public_RLVR-IFeval_gpt4o</t>
  </si>
  <si>
    <t>public_RLVR-IFeval_o3-mini</t>
  </si>
  <si>
    <t>public_constraints_following</t>
  </si>
  <si>
    <t>public_instruction_1M</t>
  </si>
  <si>
    <t>public_Nemotron-Instruction-Following-Chat_structured_outputs</t>
  </si>
  <si>
    <t>private_luxia2_askgoover</t>
  </si>
  <si>
    <t>public_RAG-Instruct-ko</t>
  </si>
  <si>
    <t>public_RAG_Instruct</t>
  </si>
  <si>
    <t>public_multi_doc</t>
  </si>
  <si>
    <t>luxia2_long_RAG</t>
  </si>
  <si>
    <t>luxia3_slx_unanswerable_rag</t>
  </si>
  <si>
    <t>luxia3_slx_unanswerable_rag_translated</t>
  </si>
  <si>
    <t>private_luxia2_domain_RAG</t>
  </si>
  <si>
    <t>public_RAG-COT-Ko_gpt-4.1</t>
  </si>
  <si>
    <t>public_orca-agentinstruct-1M-v1-cleaned_RAG</t>
  </si>
  <si>
    <t>public_slx_law_rag_synthetic</t>
  </si>
  <si>
    <t>slx_public_RAG-v1</t>
  </si>
  <si>
    <t>gv_query-intent</t>
  </si>
  <si>
    <t>luxia3_gemini-3.0_kor_synthetic_nlp</t>
  </si>
  <si>
    <t>private_final_writing_v2_NLP</t>
  </si>
  <si>
    <t>public_orca-agentinstruct-1M-v1-cleaned_NLP</t>
  </si>
  <si>
    <t>gv_query-reform</t>
  </si>
  <si>
    <t>private_query_r</t>
  </si>
  <si>
    <t>private_query_reform_v2.0</t>
  </si>
  <si>
    <t>public_qrecc</t>
  </si>
  <si>
    <t>private_academic_eng</t>
  </si>
  <si>
    <t>private_keyword_extraction</t>
  </si>
  <si>
    <t>private_legal_kor</t>
  </si>
  <si>
    <t>private_triple_e</t>
  </si>
  <si>
    <t>public_ERT</t>
  </si>
  <si>
    <t>public_NTX-LLM-inst</t>
  </si>
  <si>
    <t>public_UNER-LLM-inst</t>
  </si>
  <si>
    <t>public_structed</t>
  </si>
  <si>
    <t>samsung_self-querying</t>
  </si>
  <si>
    <t>public_QD</t>
  </si>
  <si>
    <t>private_query_e</t>
  </si>
  <si>
    <t>private_query_expansion</t>
  </si>
  <si>
    <t>luxia3_medical_term_mapping</t>
  </si>
  <si>
    <t>mcp_usecase</t>
  </si>
  <si>
    <t>private_dive-function-calling</t>
  </si>
  <si>
    <t>public_glaive-function-calling-v2-ko-refined</t>
  </si>
  <si>
    <t>public_hermes-function-calling-v1-trucated-1.1K</t>
  </si>
  <si>
    <t>public_hermes_reasoning_tool_use</t>
  </si>
  <si>
    <t>public_tool-plannings</t>
  </si>
  <si>
    <t>public_tool_use</t>
  </si>
  <si>
    <t>luxia3_luxia3_planning_research</t>
  </si>
  <si>
    <t>private_slx_identity_instruct</t>
  </si>
  <si>
    <t>private_slx_luxia_identity_v2.0</t>
  </si>
  <si>
    <t>public_long_context_long_context</t>
  </si>
  <si>
    <t>private_final_writing_v2_long-context</t>
  </si>
  <si>
    <t>public_LongWriter</t>
  </si>
  <si>
    <t>public_long_writing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</si>
</sst>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18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3" tint="0.7999816888943144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3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3" fillId="0" borderId="1" xfId="0" applyFont="1" applyBorder="1"/>
    <xf numFmtId="0" fontId="1" fillId="10" borderId="1" xfId="0" applyFont="1" applyFill="1" applyBorder="1" applyAlignment="1">
      <alignment horizontal="center" vertical="top"/>
    </xf>
    <xf numFmtId="0" fontId="1" fillId="11" borderId="1" xfId="0" applyFont="1" applyFill="1" applyBorder="1" applyAlignment="1">
      <alignment horizontal="center" vertical="top"/>
    </xf>
    <xf numFmtId="0" fontId="1" fillId="12" borderId="1" xfId="0" applyFont="1" applyFill="1" applyBorder="1" applyAlignment="1">
      <alignment horizontal="center" vertical="top"/>
    </xf>
    <xf numFmtId="0" fontId="1" fillId="9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1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7" xfId="0" applyBorder="1"/>
    <xf numFmtId="0" fontId="3" fillId="4" borderId="8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top"/>
    </xf>
    <xf numFmtId="0" fontId="0" fillId="0" borderId="2" xfId="0" applyBorder="1"/>
    <xf numFmtId="0" fontId="3" fillId="0" borderId="2" xfId="0" applyFont="1" applyBorder="1"/>
    <xf numFmtId="0" fontId="7" fillId="14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6"/>
  <sheetViews>
    <sheetView workbookViewId="0">
      <selection activeCell="M29" sqref="M29"/>
    </sheetView>
  </sheetViews>
  <sheetFormatPr defaultColWidth="8.875" defaultRowHeight="17.100000000000001"/>
  <cols>
    <col min="2" max="2" width="22.625" bestFit="1" customWidth="1"/>
    <col min="3" max="5" width="15.875" customWidth="1"/>
  </cols>
  <sheetData>
    <row r="2" spans="2:5">
      <c r="B2" s="1" t="s">
        <v>0</v>
      </c>
      <c r="C2" s="8" t="s">
        <v>1</v>
      </c>
      <c r="D2" s="9" t="s">
        <v>2</v>
      </c>
      <c r="E2" s="10" t="s">
        <v>3</v>
      </c>
    </row>
    <row r="3" spans="2:5">
      <c r="B3" s="2" t="s">
        <v>4</v>
      </c>
      <c r="C3" s="3">
        <v>0</v>
      </c>
      <c r="D3" s="3">
        <v>106588</v>
      </c>
      <c r="E3" s="3">
        <v>32281</v>
      </c>
    </row>
    <row r="4" spans="2:5">
      <c r="B4" s="2" t="s">
        <v>5</v>
      </c>
      <c r="C4" s="3">
        <v>2829</v>
      </c>
      <c r="D4" s="3">
        <v>0</v>
      </c>
      <c r="E4" s="3">
        <v>643</v>
      </c>
    </row>
    <row r="5" spans="2:5">
      <c r="B5" s="2" t="s">
        <v>6</v>
      </c>
      <c r="C5" s="3">
        <v>0</v>
      </c>
      <c r="D5" s="3">
        <v>1635693</v>
      </c>
      <c r="E5" s="3">
        <v>45234</v>
      </c>
    </row>
    <row r="6" spans="2:5">
      <c r="B6" s="2" t="s">
        <v>7</v>
      </c>
      <c r="C6" s="3">
        <v>78945</v>
      </c>
      <c r="D6" s="3">
        <v>0</v>
      </c>
      <c r="E6" s="3">
        <v>19202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35"/>
  <sheetViews>
    <sheetView topLeftCell="A16" workbookViewId="0">
      <selection activeCell="F3" sqref="F3:F35"/>
    </sheetView>
  </sheetViews>
  <sheetFormatPr defaultColWidth="8.875" defaultRowHeight="17.100000000000001"/>
  <cols>
    <col min="2" max="2" width="22.5" bestFit="1" customWidth="1"/>
    <col min="3" max="5" width="15.875" customWidth="1"/>
  </cols>
  <sheetData>
    <row r="2" spans="2:5">
      <c r="B2" s="1" t="s">
        <v>8</v>
      </c>
      <c r="C2" s="1" t="s">
        <v>1</v>
      </c>
      <c r="D2" s="1" t="s">
        <v>2</v>
      </c>
      <c r="E2" s="1" t="s">
        <v>3</v>
      </c>
    </row>
    <row r="3" spans="2:5">
      <c r="B3" s="2" t="s">
        <v>9</v>
      </c>
      <c r="C3" s="2">
        <v>72912</v>
      </c>
      <c r="D3" s="2">
        <v>1587765</v>
      </c>
      <c r="E3" s="2">
        <v>70759</v>
      </c>
    </row>
    <row r="4" spans="2:5">
      <c r="B4" s="2" t="s">
        <v>10</v>
      </c>
      <c r="C4" s="2">
        <v>5855</v>
      </c>
      <c r="D4" s="2">
        <v>62465</v>
      </c>
      <c r="E4" s="2">
        <v>4108</v>
      </c>
    </row>
    <row r="5" spans="2:5">
      <c r="B5" s="2" t="s">
        <v>11</v>
      </c>
      <c r="C5" s="2">
        <v>1325</v>
      </c>
      <c r="D5" s="2">
        <v>39818</v>
      </c>
      <c r="E5" s="2">
        <v>424</v>
      </c>
    </row>
    <row r="6" spans="2:5">
      <c r="B6" s="2" t="s">
        <v>12</v>
      </c>
      <c r="C6" s="2">
        <v>433</v>
      </c>
      <c r="D6" s="2">
        <v>30339</v>
      </c>
      <c r="E6" s="2">
        <v>162</v>
      </c>
    </row>
    <row r="7" spans="2:5">
      <c r="B7" s="2" t="s">
        <v>13</v>
      </c>
      <c r="C7" s="2">
        <v>275</v>
      </c>
      <c r="D7" s="2">
        <v>11787</v>
      </c>
      <c r="E7" s="2">
        <v>169</v>
      </c>
    </row>
    <row r="8" spans="2:5">
      <c r="B8" s="2" t="s">
        <v>14</v>
      </c>
      <c r="C8" s="2">
        <v>182</v>
      </c>
      <c r="D8" s="2">
        <v>2177</v>
      </c>
      <c r="E8" s="2">
        <v>253</v>
      </c>
    </row>
    <row r="9" spans="2:5">
      <c r="B9" s="2" t="s">
        <v>15</v>
      </c>
      <c r="C9" s="2">
        <v>171</v>
      </c>
      <c r="D9" s="2">
        <v>1260</v>
      </c>
      <c r="E9" s="2">
        <v>3575</v>
      </c>
    </row>
    <row r="10" spans="2:5">
      <c r="B10" s="2" t="s">
        <v>16</v>
      </c>
      <c r="C10" s="2">
        <v>146</v>
      </c>
      <c r="D10" s="2">
        <v>826</v>
      </c>
      <c r="E10" s="2">
        <v>2605</v>
      </c>
    </row>
    <row r="11" spans="2:5">
      <c r="B11" s="2" t="s">
        <v>17</v>
      </c>
      <c r="C11" s="2">
        <v>79</v>
      </c>
      <c r="D11" s="2">
        <v>1639</v>
      </c>
      <c r="E11" s="2">
        <v>158</v>
      </c>
    </row>
    <row r="12" spans="2:5">
      <c r="B12" s="2" t="s">
        <v>18</v>
      </c>
      <c r="C12" s="2">
        <v>33</v>
      </c>
      <c r="D12" s="2">
        <v>998</v>
      </c>
      <c r="E12" s="2">
        <v>152</v>
      </c>
    </row>
    <row r="13" spans="2:5">
      <c r="B13" s="2" t="s">
        <v>19</v>
      </c>
      <c r="C13" s="2">
        <v>25</v>
      </c>
      <c r="D13" s="2">
        <v>1128</v>
      </c>
      <c r="E13" s="2">
        <v>472</v>
      </c>
    </row>
    <row r="14" spans="2:5">
      <c r="B14" s="2" t="s">
        <v>20</v>
      </c>
      <c r="C14" s="2">
        <v>38</v>
      </c>
      <c r="D14" s="2">
        <v>1060</v>
      </c>
      <c r="E14" s="2">
        <v>1052</v>
      </c>
    </row>
    <row r="15" spans="2:5">
      <c r="B15" s="2" t="s">
        <v>21</v>
      </c>
      <c r="C15" s="2">
        <v>14</v>
      </c>
      <c r="D15" s="2">
        <v>642</v>
      </c>
      <c r="E15" s="2">
        <v>1484</v>
      </c>
    </row>
    <row r="16" spans="2:5">
      <c r="B16" s="2" t="s">
        <v>22</v>
      </c>
      <c r="C16" s="2">
        <v>9</v>
      </c>
      <c r="D16" s="2">
        <v>219</v>
      </c>
      <c r="E16" s="2">
        <v>976</v>
      </c>
    </row>
    <row r="17" spans="2:5">
      <c r="B17" s="2" t="s">
        <v>23</v>
      </c>
      <c r="C17" s="2">
        <v>25</v>
      </c>
      <c r="D17" s="2">
        <v>34</v>
      </c>
      <c r="E17" s="2">
        <v>929</v>
      </c>
    </row>
    <row r="18" spans="2:5">
      <c r="B18" s="2" t="s">
        <v>24</v>
      </c>
      <c r="C18" s="2">
        <v>13</v>
      </c>
      <c r="D18" s="2">
        <v>12</v>
      </c>
      <c r="E18" s="2">
        <v>1051</v>
      </c>
    </row>
    <row r="19" spans="2:5">
      <c r="B19" s="2" t="s">
        <v>25</v>
      </c>
      <c r="C19" s="2">
        <v>19</v>
      </c>
      <c r="D19" s="2">
        <v>10</v>
      </c>
      <c r="E19" s="2">
        <v>1143</v>
      </c>
    </row>
    <row r="20" spans="2:5">
      <c r="B20" s="2" t="s">
        <v>26</v>
      </c>
      <c r="C20" s="2">
        <v>17</v>
      </c>
      <c r="D20" s="2">
        <v>14</v>
      </c>
      <c r="E20" s="2">
        <v>1385</v>
      </c>
    </row>
    <row r="21" spans="2:5">
      <c r="B21" s="2" t="s">
        <v>27</v>
      </c>
      <c r="C21" s="2">
        <v>20</v>
      </c>
      <c r="D21" s="2">
        <v>11</v>
      </c>
      <c r="E21" s="2">
        <v>1655</v>
      </c>
    </row>
    <row r="22" spans="2:5">
      <c r="B22" s="2" t="s">
        <v>28</v>
      </c>
      <c r="C22" s="2">
        <v>30</v>
      </c>
      <c r="D22" s="2">
        <v>8</v>
      </c>
      <c r="E22" s="2">
        <v>1900</v>
      </c>
    </row>
    <row r="23" spans="2:5">
      <c r="B23" s="2" t="s">
        <v>29</v>
      </c>
      <c r="C23" s="2">
        <v>25</v>
      </c>
      <c r="D23" s="2">
        <v>6</v>
      </c>
      <c r="E23" s="2">
        <v>1855</v>
      </c>
    </row>
    <row r="24" spans="2:5">
      <c r="B24" s="2" t="s">
        <v>30</v>
      </c>
      <c r="C24" s="2">
        <v>19</v>
      </c>
      <c r="D24" s="2">
        <v>7</v>
      </c>
      <c r="E24" s="2">
        <v>779</v>
      </c>
    </row>
    <row r="25" spans="2:5">
      <c r="B25" s="2" t="s">
        <v>31</v>
      </c>
      <c r="C25" s="2">
        <v>17</v>
      </c>
      <c r="D25" s="2">
        <v>17</v>
      </c>
      <c r="E25" s="2">
        <v>148</v>
      </c>
    </row>
    <row r="26" spans="2:5">
      <c r="B26" s="2" t="s">
        <v>32</v>
      </c>
      <c r="C26" s="2">
        <v>27</v>
      </c>
      <c r="D26" s="2">
        <v>6</v>
      </c>
      <c r="E26" s="2">
        <v>71</v>
      </c>
    </row>
    <row r="27" spans="2:5">
      <c r="B27" s="2" t="s">
        <v>33</v>
      </c>
      <c r="C27" s="2">
        <v>12</v>
      </c>
      <c r="D27" s="2">
        <v>11</v>
      </c>
      <c r="E27" s="2">
        <v>47</v>
      </c>
    </row>
    <row r="28" spans="2:5">
      <c r="B28" s="2" t="s">
        <v>34</v>
      </c>
      <c r="C28" s="2">
        <v>9</v>
      </c>
      <c r="D28" s="2">
        <v>6</v>
      </c>
      <c r="E28" s="2">
        <v>25</v>
      </c>
    </row>
    <row r="29" spans="2:5">
      <c r="B29" s="2" t="s">
        <v>35</v>
      </c>
      <c r="C29" s="2">
        <v>9</v>
      </c>
      <c r="D29" s="2">
        <v>5</v>
      </c>
      <c r="E29" s="2">
        <v>10</v>
      </c>
    </row>
    <row r="30" spans="2:5">
      <c r="B30" s="2" t="s">
        <v>36</v>
      </c>
      <c r="C30" s="2">
        <v>15</v>
      </c>
      <c r="D30" s="2">
        <v>4</v>
      </c>
      <c r="E30" s="2">
        <v>6</v>
      </c>
    </row>
    <row r="31" spans="2:5">
      <c r="B31" s="2" t="s">
        <v>37</v>
      </c>
      <c r="C31" s="2">
        <v>6</v>
      </c>
      <c r="D31" s="2">
        <v>2</v>
      </c>
      <c r="E31" s="2">
        <v>4</v>
      </c>
    </row>
    <row r="32" spans="2:5">
      <c r="B32" s="2" t="s">
        <v>38</v>
      </c>
      <c r="C32" s="2">
        <v>7</v>
      </c>
      <c r="D32" s="2">
        <v>3</v>
      </c>
      <c r="E32" s="2">
        <v>2</v>
      </c>
    </row>
    <row r="33" spans="2:5">
      <c r="B33" s="2" t="s">
        <v>39</v>
      </c>
      <c r="C33" s="2">
        <v>5</v>
      </c>
      <c r="D33" s="2">
        <v>1</v>
      </c>
      <c r="E33" s="2">
        <v>0</v>
      </c>
    </row>
    <row r="34" spans="2:5">
      <c r="B34" s="2" t="s">
        <v>40</v>
      </c>
      <c r="C34" s="2">
        <v>2</v>
      </c>
      <c r="D34" s="2">
        <v>0</v>
      </c>
      <c r="E34" s="2">
        <v>1</v>
      </c>
    </row>
    <row r="35" spans="2:5">
      <c r="B35" s="2" t="s">
        <v>41</v>
      </c>
      <c r="C35" s="2">
        <v>0</v>
      </c>
      <c r="D35" s="2">
        <v>1</v>
      </c>
      <c r="E35" s="2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35"/>
  <sheetViews>
    <sheetView workbookViewId="0">
      <selection activeCell="F3" sqref="F3:F35"/>
    </sheetView>
  </sheetViews>
  <sheetFormatPr defaultColWidth="8.875" defaultRowHeight="17.100000000000001"/>
  <cols>
    <col min="2" max="2" width="26.625" bestFit="1" customWidth="1"/>
    <col min="3" max="5" width="15.875" customWidth="1"/>
  </cols>
  <sheetData>
    <row r="2" spans="2:5">
      <c r="B2" s="1" t="s">
        <v>42</v>
      </c>
      <c r="C2" s="1" t="s">
        <v>1</v>
      </c>
      <c r="D2" s="1" t="s">
        <v>2</v>
      </c>
      <c r="E2" s="1" t="s">
        <v>3</v>
      </c>
    </row>
    <row r="3" spans="2:5">
      <c r="B3" t="s">
        <v>9</v>
      </c>
      <c r="C3">
        <v>36605</v>
      </c>
      <c r="D3">
        <v>728989</v>
      </c>
      <c r="E3">
        <v>43798</v>
      </c>
    </row>
    <row r="4" spans="2:5">
      <c r="B4" t="s">
        <v>10</v>
      </c>
      <c r="C4">
        <v>19270</v>
      </c>
      <c r="D4">
        <v>589564</v>
      </c>
      <c r="E4">
        <v>20942</v>
      </c>
    </row>
    <row r="5" spans="2:5">
      <c r="B5" t="s">
        <v>11</v>
      </c>
      <c r="C5">
        <v>11593</v>
      </c>
      <c r="D5">
        <v>217061</v>
      </c>
      <c r="E5">
        <v>28249</v>
      </c>
    </row>
    <row r="6" spans="2:5">
      <c r="B6" t="s">
        <v>12</v>
      </c>
      <c r="C6">
        <v>6522</v>
      </c>
      <c r="D6">
        <v>117749</v>
      </c>
      <c r="E6">
        <v>3904</v>
      </c>
    </row>
    <row r="7" spans="2:5">
      <c r="B7" t="s">
        <v>13</v>
      </c>
      <c r="C7">
        <v>4244</v>
      </c>
      <c r="D7">
        <v>53527</v>
      </c>
      <c r="E7">
        <v>375</v>
      </c>
    </row>
    <row r="8" spans="2:5">
      <c r="B8" t="s">
        <v>14</v>
      </c>
      <c r="C8">
        <v>1755</v>
      </c>
      <c r="D8">
        <v>18781</v>
      </c>
      <c r="E8">
        <v>59</v>
      </c>
    </row>
    <row r="9" spans="2:5">
      <c r="B9" t="s">
        <v>15</v>
      </c>
      <c r="C9">
        <v>743</v>
      </c>
      <c r="D9">
        <v>6763</v>
      </c>
      <c r="E9">
        <v>11</v>
      </c>
    </row>
    <row r="10" spans="2:5">
      <c r="B10" t="s">
        <v>16</v>
      </c>
      <c r="C10">
        <v>448</v>
      </c>
      <c r="D10">
        <v>3006</v>
      </c>
      <c r="E10">
        <v>7</v>
      </c>
    </row>
    <row r="11" spans="2:5">
      <c r="B11" t="s">
        <v>17</v>
      </c>
      <c r="C11">
        <v>317</v>
      </c>
      <c r="D11">
        <v>4061</v>
      </c>
      <c r="E11">
        <v>3</v>
      </c>
    </row>
    <row r="12" spans="2:5">
      <c r="B12" t="s">
        <v>18</v>
      </c>
      <c r="C12">
        <v>146</v>
      </c>
      <c r="D12">
        <v>682</v>
      </c>
      <c r="E12">
        <v>3</v>
      </c>
    </row>
    <row r="13" spans="2:5">
      <c r="B13" t="s">
        <v>19</v>
      </c>
      <c r="C13">
        <v>49</v>
      </c>
      <c r="D13">
        <v>444</v>
      </c>
      <c r="E13">
        <v>2</v>
      </c>
    </row>
    <row r="14" spans="2:5">
      <c r="B14" t="s">
        <v>20</v>
      </c>
      <c r="C14">
        <v>22</v>
      </c>
      <c r="D14">
        <v>331</v>
      </c>
      <c r="E14">
        <v>1</v>
      </c>
    </row>
    <row r="15" spans="2:5">
      <c r="B15" t="s">
        <v>21</v>
      </c>
      <c r="C15">
        <v>13</v>
      </c>
      <c r="D15">
        <v>435</v>
      </c>
      <c r="E15">
        <v>4</v>
      </c>
    </row>
    <row r="16" spans="2:5">
      <c r="B16" t="s">
        <v>22</v>
      </c>
      <c r="C16">
        <v>15</v>
      </c>
      <c r="D16">
        <v>372</v>
      </c>
      <c r="E16">
        <v>2</v>
      </c>
    </row>
    <row r="17" spans="2:5">
      <c r="B17" t="s">
        <v>23</v>
      </c>
      <c r="C17">
        <v>8</v>
      </c>
      <c r="D17">
        <v>153</v>
      </c>
      <c r="E17">
        <v>0</v>
      </c>
    </row>
    <row r="18" spans="2:5">
      <c r="B18" t="s">
        <v>24</v>
      </c>
      <c r="C18">
        <v>9</v>
      </c>
      <c r="D18">
        <v>82</v>
      </c>
      <c r="E18">
        <v>0</v>
      </c>
    </row>
    <row r="19" spans="2:5">
      <c r="B19" t="s">
        <v>25</v>
      </c>
      <c r="C19">
        <v>9</v>
      </c>
      <c r="D19">
        <v>67</v>
      </c>
      <c r="E19">
        <v>0</v>
      </c>
    </row>
    <row r="20" spans="2:5">
      <c r="B20" t="s">
        <v>26</v>
      </c>
      <c r="C20">
        <v>2</v>
      </c>
      <c r="D20">
        <v>46</v>
      </c>
      <c r="E20">
        <v>0</v>
      </c>
    </row>
    <row r="21" spans="2:5">
      <c r="B21" t="s">
        <v>27</v>
      </c>
      <c r="C21">
        <v>4</v>
      </c>
      <c r="D21">
        <v>31</v>
      </c>
      <c r="E21">
        <v>0</v>
      </c>
    </row>
    <row r="22" spans="2:5">
      <c r="B22" t="s">
        <v>28</v>
      </c>
      <c r="C22">
        <v>0</v>
      </c>
      <c r="D22">
        <v>30</v>
      </c>
      <c r="E22">
        <v>0</v>
      </c>
    </row>
    <row r="23" spans="2:5">
      <c r="B23" t="s">
        <v>29</v>
      </c>
      <c r="C23">
        <v>0</v>
      </c>
      <c r="D23">
        <v>20</v>
      </c>
      <c r="E23">
        <v>0</v>
      </c>
    </row>
    <row r="24" spans="2:5">
      <c r="B24" t="s">
        <v>30</v>
      </c>
      <c r="C24">
        <v>0</v>
      </c>
      <c r="D24">
        <v>22</v>
      </c>
      <c r="E24">
        <v>0</v>
      </c>
    </row>
    <row r="25" spans="2:5">
      <c r="B25" t="s">
        <v>31</v>
      </c>
      <c r="C25">
        <v>0</v>
      </c>
      <c r="D25">
        <v>13</v>
      </c>
      <c r="E25">
        <v>0</v>
      </c>
    </row>
    <row r="26" spans="2:5">
      <c r="B26" t="s">
        <v>32</v>
      </c>
      <c r="C26">
        <v>0</v>
      </c>
      <c r="D26">
        <v>12</v>
      </c>
      <c r="E26">
        <v>0</v>
      </c>
    </row>
    <row r="27" spans="2:5">
      <c r="B27" t="s">
        <v>33</v>
      </c>
      <c r="C27">
        <v>0</v>
      </c>
      <c r="D27">
        <v>8</v>
      </c>
      <c r="E27">
        <v>0</v>
      </c>
    </row>
    <row r="28" spans="2:5">
      <c r="B28" t="s">
        <v>34</v>
      </c>
      <c r="C28">
        <v>0</v>
      </c>
      <c r="D28">
        <v>8</v>
      </c>
      <c r="E28">
        <v>0</v>
      </c>
    </row>
    <row r="29" spans="2:5">
      <c r="B29" t="s">
        <v>35</v>
      </c>
      <c r="C29">
        <v>0</v>
      </c>
      <c r="D29">
        <v>5</v>
      </c>
      <c r="E29">
        <v>0</v>
      </c>
    </row>
    <row r="30" spans="2:5">
      <c r="B30" t="s">
        <v>36</v>
      </c>
      <c r="C30">
        <v>0</v>
      </c>
      <c r="D30">
        <v>5</v>
      </c>
      <c r="E30">
        <v>0</v>
      </c>
    </row>
    <row r="31" spans="2:5">
      <c r="B31" t="s">
        <v>37</v>
      </c>
      <c r="C31">
        <v>0</v>
      </c>
      <c r="D31">
        <v>6</v>
      </c>
      <c r="E31">
        <v>0</v>
      </c>
    </row>
    <row r="32" spans="2:5">
      <c r="B32" t="s">
        <v>38</v>
      </c>
      <c r="C32">
        <v>0</v>
      </c>
      <c r="D32">
        <v>1</v>
      </c>
      <c r="E32">
        <v>0</v>
      </c>
    </row>
    <row r="33" spans="2:5">
      <c r="B33" t="s">
        <v>39</v>
      </c>
      <c r="C33">
        <v>0</v>
      </c>
      <c r="D33">
        <v>4</v>
      </c>
      <c r="E33">
        <v>0</v>
      </c>
    </row>
    <row r="34" spans="2:5">
      <c r="B34" t="s">
        <v>40</v>
      </c>
      <c r="C34">
        <v>0</v>
      </c>
      <c r="D34">
        <v>1</v>
      </c>
      <c r="E34">
        <v>0</v>
      </c>
    </row>
    <row r="35" spans="2:5">
      <c r="B35" t="s">
        <v>41</v>
      </c>
      <c r="C35">
        <v>0</v>
      </c>
      <c r="D35">
        <v>2</v>
      </c>
      <c r="E35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51"/>
  <sheetViews>
    <sheetView tabSelected="1" workbookViewId="0">
      <pane ySplit="4" topLeftCell="A5" activePane="bottomLeft" state="frozen"/>
      <selection pane="bottomLeft" activeCell="A5" sqref="A5:XFD5"/>
    </sheetView>
  </sheetViews>
  <sheetFormatPr defaultColWidth="8.875" defaultRowHeight="17.100000000000001"/>
  <cols>
    <col min="2" max="2" width="20.375" style="15" bestFit="1" customWidth="1"/>
    <col min="3" max="3" width="21.125" style="15" bestFit="1" customWidth="1"/>
    <col min="4" max="12" width="15.875" customWidth="1"/>
  </cols>
  <sheetData>
    <row r="2" spans="2:13" ht="24" customHeight="1">
      <c r="D2" s="24" t="s">
        <v>43</v>
      </c>
      <c r="E2" s="24"/>
      <c r="F2" s="24"/>
      <c r="G2" s="24"/>
      <c r="H2" s="24"/>
      <c r="I2" s="24"/>
      <c r="J2" s="24"/>
      <c r="K2" s="24"/>
      <c r="L2" s="24"/>
    </row>
    <row r="3" spans="2:13" ht="17.100000000000001" customHeight="1">
      <c r="D3" s="34" t="s">
        <v>1</v>
      </c>
      <c r="E3" s="35"/>
      <c r="F3" s="36"/>
      <c r="G3" s="37" t="s">
        <v>2</v>
      </c>
      <c r="H3" s="38"/>
      <c r="I3" s="39"/>
      <c r="J3" s="33" t="s">
        <v>3</v>
      </c>
      <c r="K3" s="33"/>
      <c r="L3" s="41"/>
      <c r="M3" s="45" t="s">
        <v>44</v>
      </c>
    </row>
    <row r="4" spans="2:13" ht="17.100000000000001" customHeight="1">
      <c r="B4" s="11" t="s">
        <v>45</v>
      </c>
      <c r="C4" s="12" t="s">
        <v>46</v>
      </c>
      <c r="D4" s="4" t="s">
        <v>47</v>
      </c>
      <c r="E4" s="4" t="s">
        <v>48</v>
      </c>
      <c r="F4" s="4" t="s">
        <v>44</v>
      </c>
      <c r="G4" s="5" t="s">
        <v>47</v>
      </c>
      <c r="H4" s="5" t="s">
        <v>48</v>
      </c>
      <c r="I4" s="5" t="s">
        <v>49</v>
      </c>
      <c r="J4" s="6" t="s">
        <v>47</v>
      </c>
      <c r="K4" s="6" t="s">
        <v>48</v>
      </c>
      <c r="L4" s="42" t="s">
        <v>49</v>
      </c>
      <c r="M4" s="45"/>
    </row>
    <row r="5" spans="2:13" ht="17.100000000000001" customHeight="1">
      <c r="B5" s="21" t="s">
        <v>50</v>
      </c>
      <c r="C5" s="16" t="s">
        <v>51</v>
      </c>
      <c r="D5" s="2">
        <v>0</v>
      </c>
      <c r="E5" s="2">
        <v>0</v>
      </c>
      <c r="F5" s="2">
        <f>SUM(D5:E5)</f>
        <v>0</v>
      </c>
      <c r="G5" s="2">
        <v>1</v>
      </c>
      <c r="H5" s="2">
        <v>0</v>
      </c>
      <c r="I5" s="2">
        <f>SUM(G5:H5)</f>
        <v>1</v>
      </c>
      <c r="J5" s="2">
        <v>0</v>
      </c>
      <c r="K5" s="2">
        <v>0</v>
      </c>
      <c r="L5" s="43">
        <f>SUM(J5:K5)</f>
        <v>0</v>
      </c>
      <c r="M5" s="40">
        <f>SUM(L5,I5,F5)</f>
        <v>1</v>
      </c>
    </row>
    <row r="6" spans="2:13" ht="17.100000000000001" customHeight="1">
      <c r="B6" s="23"/>
      <c r="C6" s="16" t="s">
        <v>52</v>
      </c>
      <c r="D6" s="2">
        <v>93</v>
      </c>
      <c r="E6" s="2">
        <v>0</v>
      </c>
      <c r="F6" s="2">
        <f t="shared" ref="F6:F45" si="0">SUM(D6:E6)</f>
        <v>93</v>
      </c>
      <c r="G6" s="2">
        <v>66759</v>
      </c>
      <c r="H6" s="2">
        <v>101300</v>
      </c>
      <c r="I6" s="2">
        <f t="shared" ref="I6:I45" si="1">SUM(G6:H6)</f>
        <v>168059</v>
      </c>
      <c r="J6" s="2">
        <v>52</v>
      </c>
      <c r="K6" s="2">
        <v>0</v>
      </c>
      <c r="L6" s="43">
        <f t="shared" ref="L6:L45" si="2">SUM(J6:K6)</f>
        <v>52</v>
      </c>
      <c r="M6" s="40">
        <f t="shared" ref="M6:M45" si="3">SUM(L6,I6,F6)</f>
        <v>168204</v>
      </c>
    </row>
    <row r="7" spans="2:13">
      <c r="B7" s="21" t="s">
        <v>53</v>
      </c>
      <c r="C7" s="16" t="s">
        <v>54</v>
      </c>
      <c r="D7" s="2">
        <v>0</v>
      </c>
      <c r="E7" s="2">
        <v>0</v>
      </c>
      <c r="F7" s="2">
        <f t="shared" si="0"/>
        <v>0</v>
      </c>
      <c r="G7" s="2">
        <v>448</v>
      </c>
      <c r="H7" s="2">
        <v>2</v>
      </c>
      <c r="I7" s="2">
        <f t="shared" si="1"/>
        <v>450</v>
      </c>
      <c r="J7" s="2">
        <v>0</v>
      </c>
      <c r="K7" s="2">
        <v>0</v>
      </c>
      <c r="L7" s="43">
        <f t="shared" si="2"/>
        <v>0</v>
      </c>
      <c r="M7" s="40">
        <f t="shared" si="3"/>
        <v>450</v>
      </c>
    </row>
    <row r="8" spans="2:13" ht="17.100000000000001" customHeight="1">
      <c r="B8" s="22"/>
      <c r="C8" s="16" t="s">
        <v>55</v>
      </c>
      <c r="D8" s="2">
        <v>0</v>
      </c>
      <c r="E8" s="2">
        <v>0</v>
      </c>
      <c r="F8" s="2">
        <f t="shared" si="0"/>
        <v>0</v>
      </c>
      <c r="G8" s="2">
        <v>107</v>
      </c>
      <c r="H8" s="2">
        <v>0</v>
      </c>
      <c r="I8" s="2">
        <f t="shared" si="1"/>
        <v>107</v>
      </c>
      <c r="J8" s="2">
        <v>0</v>
      </c>
      <c r="K8" s="2">
        <v>0</v>
      </c>
      <c r="L8" s="43">
        <f t="shared" si="2"/>
        <v>0</v>
      </c>
      <c r="M8" s="40">
        <f t="shared" si="3"/>
        <v>107</v>
      </c>
    </row>
    <row r="9" spans="2:13" ht="17.100000000000001" customHeight="1">
      <c r="B9" s="22"/>
      <c r="C9" s="16" t="s">
        <v>56</v>
      </c>
      <c r="D9" s="2">
        <v>64</v>
      </c>
      <c r="E9" s="2">
        <v>0</v>
      </c>
      <c r="F9" s="2">
        <f t="shared" si="0"/>
        <v>64</v>
      </c>
      <c r="G9" s="2">
        <v>9181</v>
      </c>
      <c r="H9" s="2">
        <v>122936</v>
      </c>
      <c r="I9" s="2">
        <f t="shared" si="1"/>
        <v>132117</v>
      </c>
      <c r="J9" s="2">
        <v>0</v>
      </c>
      <c r="K9" s="2">
        <v>0</v>
      </c>
      <c r="L9" s="43">
        <f t="shared" si="2"/>
        <v>0</v>
      </c>
      <c r="M9" s="40">
        <f t="shared" si="3"/>
        <v>132181</v>
      </c>
    </row>
    <row r="10" spans="2:13" ht="17.100000000000001" customHeight="1">
      <c r="B10" s="23"/>
      <c r="C10" s="16" t="s">
        <v>57</v>
      </c>
      <c r="D10" s="2">
        <v>0</v>
      </c>
      <c r="E10" s="2">
        <v>0</v>
      </c>
      <c r="F10" s="2">
        <f t="shared" si="0"/>
        <v>0</v>
      </c>
      <c r="G10" s="2">
        <v>87</v>
      </c>
      <c r="H10" s="2">
        <v>0</v>
      </c>
      <c r="I10" s="2">
        <f t="shared" si="1"/>
        <v>87</v>
      </c>
      <c r="J10" s="2">
        <v>0</v>
      </c>
      <c r="K10" s="2">
        <v>0</v>
      </c>
      <c r="L10" s="43">
        <f t="shared" si="2"/>
        <v>0</v>
      </c>
      <c r="M10" s="40">
        <f t="shared" si="3"/>
        <v>87</v>
      </c>
    </row>
    <row r="11" spans="2:13">
      <c r="B11" s="14" t="s">
        <v>58</v>
      </c>
      <c r="C11" s="16" t="s">
        <v>59</v>
      </c>
      <c r="D11" s="2">
        <v>22</v>
      </c>
      <c r="E11" s="2">
        <v>0</v>
      </c>
      <c r="F11" s="2">
        <f t="shared" si="0"/>
        <v>22</v>
      </c>
      <c r="G11" s="2">
        <v>12563</v>
      </c>
      <c r="H11" s="2">
        <v>41796</v>
      </c>
      <c r="I11" s="2">
        <f t="shared" si="1"/>
        <v>54359</v>
      </c>
      <c r="J11" s="2">
        <v>0</v>
      </c>
      <c r="K11" s="2">
        <v>0</v>
      </c>
      <c r="L11" s="43">
        <f t="shared" si="2"/>
        <v>0</v>
      </c>
      <c r="M11" s="40">
        <f t="shared" si="3"/>
        <v>54381</v>
      </c>
    </row>
    <row r="12" spans="2:13">
      <c r="B12" s="21" t="s">
        <v>60</v>
      </c>
      <c r="C12" s="16" t="s">
        <v>61</v>
      </c>
      <c r="D12" s="2">
        <v>0</v>
      </c>
      <c r="E12" s="2">
        <v>0</v>
      </c>
      <c r="F12" s="2">
        <f t="shared" si="0"/>
        <v>0</v>
      </c>
      <c r="G12" s="2">
        <v>0</v>
      </c>
      <c r="H12" s="2">
        <v>697</v>
      </c>
      <c r="I12" s="2">
        <f t="shared" si="1"/>
        <v>697</v>
      </c>
      <c r="J12" s="2">
        <v>0</v>
      </c>
      <c r="K12" s="2">
        <v>0</v>
      </c>
      <c r="L12" s="43">
        <f t="shared" si="2"/>
        <v>0</v>
      </c>
      <c r="M12" s="40">
        <f t="shared" si="3"/>
        <v>697</v>
      </c>
    </row>
    <row r="13" spans="2:13">
      <c r="B13" s="23"/>
      <c r="C13" s="16" t="s">
        <v>62</v>
      </c>
      <c r="D13" s="2">
        <v>8582</v>
      </c>
      <c r="E13" s="2">
        <v>217</v>
      </c>
      <c r="F13" s="2">
        <f t="shared" si="0"/>
        <v>8799</v>
      </c>
      <c r="G13" s="2">
        <v>570</v>
      </c>
      <c r="H13" s="2">
        <v>191207</v>
      </c>
      <c r="I13" s="2">
        <f t="shared" si="1"/>
        <v>191777</v>
      </c>
      <c r="J13" s="2">
        <v>0</v>
      </c>
      <c r="K13" s="2">
        <v>1314</v>
      </c>
      <c r="L13" s="43">
        <f t="shared" si="2"/>
        <v>1314</v>
      </c>
      <c r="M13" s="40">
        <f t="shared" si="3"/>
        <v>201890</v>
      </c>
    </row>
    <row r="14" spans="2:13">
      <c r="B14" s="21" t="s">
        <v>63</v>
      </c>
      <c r="C14" s="16" t="s">
        <v>64</v>
      </c>
      <c r="D14" s="2">
        <v>41</v>
      </c>
      <c r="E14" s="2">
        <v>1</v>
      </c>
      <c r="F14" s="2">
        <f t="shared" si="0"/>
        <v>42</v>
      </c>
      <c r="G14" s="2">
        <v>0</v>
      </c>
      <c r="H14" s="2">
        <v>0</v>
      </c>
      <c r="I14" s="2">
        <f t="shared" si="1"/>
        <v>0</v>
      </c>
      <c r="J14" s="2">
        <v>0</v>
      </c>
      <c r="K14" s="2">
        <v>0</v>
      </c>
      <c r="L14" s="43">
        <f t="shared" si="2"/>
        <v>0</v>
      </c>
      <c r="M14" s="40">
        <f t="shared" si="3"/>
        <v>42</v>
      </c>
    </row>
    <row r="15" spans="2:13">
      <c r="B15" s="22"/>
      <c r="C15" s="16" t="s">
        <v>65</v>
      </c>
      <c r="D15" s="2">
        <v>10988</v>
      </c>
      <c r="E15" s="2">
        <v>153</v>
      </c>
      <c r="F15" s="2">
        <f t="shared" si="0"/>
        <v>11141</v>
      </c>
      <c r="G15" s="2">
        <v>478622</v>
      </c>
      <c r="H15" s="2">
        <v>384003</v>
      </c>
      <c r="I15" s="2">
        <f t="shared" si="1"/>
        <v>862625</v>
      </c>
      <c r="J15" s="2">
        <v>63451</v>
      </c>
      <c r="K15" s="2">
        <v>9659</v>
      </c>
      <c r="L15" s="43">
        <f t="shared" si="2"/>
        <v>73110</v>
      </c>
      <c r="M15" s="40">
        <f>SUM(L15,I15,F15)</f>
        <v>946876</v>
      </c>
    </row>
    <row r="16" spans="2:13">
      <c r="B16" s="22"/>
      <c r="C16" s="16" t="s">
        <v>66</v>
      </c>
      <c r="D16" s="2">
        <v>282</v>
      </c>
      <c r="E16" s="2">
        <v>0</v>
      </c>
      <c r="F16" s="2">
        <f t="shared" si="0"/>
        <v>282</v>
      </c>
      <c r="G16" s="2">
        <v>9936</v>
      </c>
      <c r="H16" s="2">
        <v>21133</v>
      </c>
      <c r="I16" s="2">
        <f t="shared" si="1"/>
        <v>31069</v>
      </c>
      <c r="J16" s="2">
        <v>64</v>
      </c>
      <c r="K16" s="2">
        <v>310</v>
      </c>
      <c r="L16" s="43">
        <f t="shared" si="2"/>
        <v>374</v>
      </c>
      <c r="M16" s="40">
        <f t="shared" si="3"/>
        <v>31725</v>
      </c>
    </row>
    <row r="17" spans="2:13">
      <c r="B17" s="22"/>
      <c r="C17" s="16" t="s">
        <v>67</v>
      </c>
      <c r="D17" s="2">
        <v>0</v>
      </c>
      <c r="E17" s="2">
        <v>0</v>
      </c>
      <c r="F17" s="2">
        <f t="shared" si="0"/>
        <v>0</v>
      </c>
      <c r="G17" s="2">
        <v>4</v>
      </c>
      <c r="H17" s="2">
        <v>0</v>
      </c>
      <c r="I17" s="2">
        <f t="shared" si="1"/>
        <v>4</v>
      </c>
      <c r="J17" s="2">
        <v>0</v>
      </c>
      <c r="K17" s="2">
        <v>0</v>
      </c>
      <c r="L17" s="43">
        <f t="shared" si="2"/>
        <v>0</v>
      </c>
      <c r="M17" s="40">
        <f t="shared" si="3"/>
        <v>4</v>
      </c>
    </row>
    <row r="18" spans="2:13">
      <c r="B18" s="23"/>
      <c r="C18" s="16" t="s">
        <v>68</v>
      </c>
      <c r="D18" s="2">
        <v>77</v>
      </c>
      <c r="E18" s="2">
        <v>3</v>
      </c>
      <c r="F18" s="2">
        <f t="shared" si="0"/>
        <v>80</v>
      </c>
      <c r="G18" s="2">
        <v>247</v>
      </c>
      <c r="H18" s="2">
        <v>706</v>
      </c>
      <c r="I18" s="2">
        <f t="shared" si="1"/>
        <v>953</v>
      </c>
      <c r="J18" s="2">
        <v>490</v>
      </c>
      <c r="K18" s="2">
        <v>81</v>
      </c>
      <c r="L18" s="43">
        <f t="shared" si="2"/>
        <v>571</v>
      </c>
      <c r="M18" s="40">
        <f t="shared" si="3"/>
        <v>1604</v>
      </c>
    </row>
    <row r="19" spans="2:13">
      <c r="B19" s="21" t="s">
        <v>69</v>
      </c>
      <c r="C19" s="16" t="s">
        <v>70</v>
      </c>
      <c r="D19" s="2">
        <v>4617</v>
      </c>
      <c r="E19" s="2">
        <v>192</v>
      </c>
      <c r="F19" s="2">
        <f t="shared" si="0"/>
        <v>4809</v>
      </c>
      <c r="G19" s="2">
        <v>143</v>
      </c>
      <c r="H19" s="2">
        <v>29612</v>
      </c>
      <c r="I19" s="2">
        <f t="shared" si="1"/>
        <v>29755</v>
      </c>
      <c r="J19" s="2">
        <v>0</v>
      </c>
      <c r="K19" s="2">
        <v>0</v>
      </c>
      <c r="L19" s="43">
        <f t="shared" si="2"/>
        <v>0</v>
      </c>
      <c r="M19" s="40">
        <f t="shared" si="3"/>
        <v>34564</v>
      </c>
    </row>
    <row r="20" spans="2:13">
      <c r="B20" s="22"/>
      <c r="C20" s="16" t="s">
        <v>65</v>
      </c>
      <c r="D20" s="2">
        <v>2881</v>
      </c>
      <c r="E20" s="2">
        <v>20</v>
      </c>
      <c r="F20" s="2">
        <f t="shared" si="0"/>
        <v>2901</v>
      </c>
      <c r="G20" s="2">
        <v>6256</v>
      </c>
      <c r="H20" s="2">
        <v>3453</v>
      </c>
      <c r="I20" s="2">
        <f t="shared" si="1"/>
        <v>9709</v>
      </c>
      <c r="J20" s="2">
        <v>85</v>
      </c>
      <c r="K20" s="2">
        <v>5</v>
      </c>
      <c r="L20" s="43">
        <f t="shared" si="2"/>
        <v>90</v>
      </c>
      <c r="M20" s="40">
        <f t="shared" si="3"/>
        <v>12700</v>
      </c>
    </row>
    <row r="21" spans="2:13">
      <c r="B21" s="22"/>
      <c r="C21" s="16" t="s">
        <v>71</v>
      </c>
      <c r="D21" s="2">
        <v>1698</v>
      </c>
      <c r="E21" s="2">
        <v>376</v>
      </c>
      <c r="F21" s="2">
        <f t="shared" si="0"/>
        <v>2074</v>
      </c>
      <c r="G21" s="2">
        <v>0</v>
      </c>
      <c r="H21" s="2">
        <v>0</v>
      </c>
      <c r="I21" s="2">
        <f t="shared" si="1"/>
        <v>0</v>
      </c>
      <c r="J21" s="2">
        <v>461</v>
      </c>
      <c r="K21" s="2">
        <v>0</v>
      </c>
      <c r="L21" s="43">
        <f t="shared" si="2"/>
        <v>461</v>
      </c>
      <c r="M21" s="40">
        <f t="shared" si="3"/>
        <v>2535</v>
      </c>
    </row>
    <row r="22" spans="2:13">
      <c r="B22" s="23"/>
      <c r="C22" s="16" t="s">
        <v>72</v>
      </c>
      <c r="D22" s="2">
        <v>0</v>
      </c>
      <c r="E22" s="2">
        <v>0</v>
      </c>
      <c r="F22" s="2">
        <f t="shared" si="0"/>
        <v>0</v>
      </c>
      <c r="G22" s="2">
        <v>0</v>
      </c>
      <c r="H22" s="2">
        <v>0</v>
      </c>
      <c r="I22" s="2">
        <f t="shared" si="1"/>
        <v>0</v>
      </c>
      <c r="J22" s="2">
        <v>73</v>
      </c>
      <c r="K22" s="2">
        <v>0</v>
      </c>
      <c r="L22" s="43">
        <f t="shared" si="2"/>
        <v>73</v>
      </c>
      <c r="M22" s="40">
        <f t="shared" si="3"/>
        <v>73</v>
      </c>
    </row>
    <row r="23" spans="2:13">
      <c r="B23" s="21" t="s">
        <v>73</v>
      </c>
      <c r="C23" s="16" t="s">
        <v>74</v>
      </c>
      <c r="D23" s="2">
        <v>40</v>
      </c>
      <c r="E23" s="2">
        <v>0</v>
      </c>
      <c r="F23" s="2">
        <f t="shared" si="0"/>
        <v>40</v>
      </c>
      <c r="G23" s="2">
        <v>0</v>
      </c>
      <c r="H23" s="2">
        <v>0</v>
      </c>
      <c r="I23" s="2">
        <f t="shared" si="1"/>
        <v>0</v>
      </c>
      <c r="J23" s="2">
        <v>0</v>
      </c>
      <c r="K23" s="2">
        <v>0</v>
      </c>
      <c r="L23" s="43">
        <f t="shared" si="2"/>
        <v>0</v>
      </c>
      <c r="M23" s="40">
        <f t="shared" si="3"/>
        <v>40</v>
      </c>
    </row>
    <row r="24" spans="2:13">
      <c r="B24" s="23"/>
      <c r="C24" s="16" t="s">
        <v>65</v>
      </c>
      <c r="D24" s="2">
        <v>424</v>
      </c>
      <c r="E24" s="2">
        <v>7</v>
      </c>
      <c r="F24" s="2">
        <f t="shared" si="0"/>
        <v>431</v>
      </c>
      <c r="G24" s="2">
        <v>421</v>
      </c>
      <c r="H24" s="2">
        <v>431</v>
      </c>
      <c r="I24" s="2">
        <f t="shared" si="1"/>
        <v>852</v>
      </c>
      <c r="J24" s="2">
        <v>2427</v>
      </c>
      <c r="K24" s="2">
        <v>2317</v>
      </c>
      <c r="L24" s="43">
        <f t="shared" si="2"/>
        <v>4744</v>
      </c>
      <c r="M24" s="40">
        <f t="shared" si="3"/>
        <v>6027</v>
      </c>
    </row>
    <row r="25" spans="2:13">
      <c r="B25" s="21" t="s">
        <v>75</v>
      </c>
      <c r="C25" s="16" t="s">
        <v>76</v>
      </c>
      <c r="D25" s="2">
        <v>3</v>
      </c>
      <c r="E25" s="2">
        <v>20</v>
      </c>
      <c r="F25" s="2">
        <f t="shared" si="0"/>
        <v>23</v>
      </c>
      <c r="G25" s="2">
        <v>0</v>
      </c>
      <c r="H25" s="2">
        <v>0</v>
      </c>
      <c r="I25" s="2">
        <f t="shared" si="1"/>
        <v>0</v>
      </c>
      <c r="J25" s="2">
        <v>0</v>
      </c>
      <c r="K25" s="2">
        <v>0</v>
      </c>
      <c r="L25" s="43">
        <f t="shared" si="2"/>
        <v>0</v>
      </c>
      <c r="M25" s="40">
        <f t="shared" si="3"/>
        <v>23</v>
      </c>
    </row>
    <row r="26" spans="2:13">
      <c r="B26" s="22"/>
      <c r="C26" s="16" t="s">
        <v>77</v>
      </c>
      <c r="D26" s="2">
        <v>163</v>
      </c>
      <c r="E26" s="2">
        <v>0</v>
      </c>
      <c r="F26" s="2">
        <f t="shared" si="0"/>
        <v>163</v>
      </c>
      <c r="G26" s="2">
        <v>618</v>
      </c>
      <c r="H26" s="2">
        <v>0</v>
      </c>
      <c r="I26" s="2">
        <f t="shared" si="1"/>
        <v>618</v>
      </c>
      <c r="J26" s="2">
        <v>86</v>
      </c>
      <c r="K26" s="2">
        <v>0</v>
      </c>
      <c r="L26" s="43">
        <f t="shared" si="2"/>
        <v>86</v>
      </c>
      <c r="M26" s="40">
        <f t="shared" si="3"/>
        <v>867</v>
      </c>
    </row>
    <row r="27" spans="2:13">
      <c r="B27" s="23"/>
      <c r="C27" s="16" t="s">
        <v>78</v>
      </c>
      <c r="D27" s="2">
        <v>0</v>
      </c>
      <c r="E27" s="2">
        <v>101</v>
      </c>
      <c r="F27" s="2">
        <f t="shared" si="0"/>
        <v>101</v>
      </c>
      <c r="G27" s="2">
        <v>2</v>
      </c>
      <c r="H27" s="2">
        <v>621</v>
      </c>
      <c r="I27" s="2">
        <f t="shared" si="1"/>
        <v>623</v>
      </c>
      <c r="J27" s="2">
        <v>1</v>
      </c>
      <c r="K27" s="2">
        <v>568</v>
      </c>
      <c r="L27" s="43">
        <f t="shared" si="2"/>
        <v>569</v>
      </c>
      <c r="M27" s="40">
        <f t="shared" si="3"/>
        <v>1293</v>
      </c>
    </row>
    <row r="28" spans="2:13">
      <c r="B28" s="21" t="s">
        <v>79</v>
      </c>
      <c r="C28" s="16" t="s">
        <v>80</v>
      </c>
      <c r="D28" s="2">
        <v>1564</v>
      </c>
      <c r="E28" s="2">
        <v>0</v>
      </c>
      <c r="F28" s="2">
        <f t="shared" si="0"/>
        <v>1564</v>
      </c>
      <c r="G28" s="2">
        <v>0</v>
      </c>
      <c r="H28" s="2">
        <v>6898</v>
      </c>
      <c r="I28" s="2">
        <f t="shared" si="1"/>
        <v>6898</v>
      </c>
      <c r="J28" s="2">
        <v>0</v>
      </c>
      <c r="K28" s="2">
        <v>0</v>
      </c>
      <c r="L28" s="43">
        <f t="shared" si="2"/>
        <v>0</v>
      </c>
      <c r="M28" s="40">
        <f t="shared" si="3"/>
        <v>8462</v>
      </c>
    </row>
    <row r="29" spans="2:13">
      <c r="B29" s="23"/>
      <c r="C29" s="16" t="s">
        <v>81</v>
      </c>
      <c r="D29" s="2">
        <v>874</v>
      </c>
      <c r="E29" s="2">
        <v>0</v>
      </c>
      <c r="F29" s="2">
        <f t="shared" si="0"/>
        <v>874</v>
      </c>
      <c r="G29" s="2">
        <v>0</v>
      </c>
      <c r="H29" s="2">
        <v>22568</v>
      </c>
      <c r="I29" s="2">
        <f t="shared" si="1"/>
        <v>22568</v>
      </c>
      <c r="J29" s="2">
        <v>4</v>
      </c>
      <c r="K29" s="2">
        <v>0</v>
      </c>
      <c r="L29" s="43">
        <f t="shared" si="2"/>
        <v>4</v>
      </c>
      <c r="M29" s="40">
        <f t="shared" si="3"/>
        <v>23446</v>
      </c>
    </row>
    <row r="30" spans="2:13">
      <c r="B30" s="21" t="s">
        <v>82</v>
      </c>
      <c r="C30" s="16" t="s">
        <v>83</v>
      </c>
      <c r="D30" s="2">
        <v>5000</v>
      </c>
      <c r="E30" s="2">
        <v>4939</v>
      </c>
      <c r="F30" s="2">
        <f t="shared" si="0"/>
        <v>9939</v>
      </c>
      <c r="G30" s="2">
        <v>4927</v>
      </c>
      <c r="H30" s="2">
        <v>4696</v>
      </c>
      <c r="I30" s="2">
        <f t="shared" si="1"/>
        <v>9623</v>
      </c>
      <c r="J30" s="2">
        <v>0</v>
      </c>
      <c r="K30" s="2">
        <v>0</v>
      </c>
      <c r="L30" s="43">
        <f t="shared" si="2"/>
        <v>0</v>
      </c>
      <c r="M30" s="40">
        <f t="shared" si="3"/>
        <v>19562</v>
      </c>
    </row>
    <row r="31" spans="2:13">
      <c r="B31" s="22"/>
      <c r="C31" s="16" t="s">
        <v>84</v>
      </c>
      <c r="D31" s="2">
        <v>30022</v>
      </c>
      <c r="E31" s="2">
        <v>3081</v>
      </c>
      <c r="F31" s="2">
        <f t="shared" si="0"/>
        <v>33103</v>
      </c>
      <c r="G31" s="2">
        <v>7072</v>
      </c>
      <c r="H31" s="2">
        <v>114175</v>
      </c>
      <c r="I31" s="2">
        <f t="shared" si="1"/>
        <v>121247</v>
      </c>
      <c r="J31" s="2">
        <v>0</v>
      </c>
      <c r="K31" s="2">
        <v>0</v>
      </c>
      <c r="L31" s="43">
        <f t="shared" si="2"/>
        <v>0</v>
      </c>
      <c r="M31" s="40">
        <f>SUM(L31,I31,F31)</f>
        <v>154350</v>
      </c>
    </row>
    <row r="32" spans="2:13">
      <c r="B32" s="23"/>
      <c r="C32" s="16" t="s">
        <v>85</v>
      </c>
      <c r="D32" s="2">
        <v>0</v>
      </c>
      <c r="E32" s="2">
        <v>0</v>
      </c>
      <c r="F32" s="2">
        <f t="shared" si="0"/>
        <v>0</v>
      </c>
      <c r="G32" s="2">
        <v>0</v>
      </c>
      <c r="H32" s="2">
        <v>4944</v>
      </c>
      <c r="I32" s="2">
        <f t="shared" si="1"/>
        <v>4944</v>
      </c>
      <c r="J32" s="2">
        <v>0</v>
      </c>
      <c r="K32" s="2">
        <v>0</v>
      </c>
      <c r="L32" s="43">
        <f t="shared" si="2"/>
        <v>0</v>
      </c>
      <c r="M32" s="40">
        <f t="shared" si="3"/>
        <v>4944</v>
      </c>
    </row>
    <row r="33" spans="2:13">
      <c r="B33" s="21" t="s">
        <v>86</v>
      </c>
      <c r="C33" s="16" t="s">
        <v>87</v>
      </c>
      <c r="D33" s="2">
        <v>29</v>
      </c>
      <c r="E33" s="2">
        <v>0</v>
      </c>
      <c r="F33" s="2">
        <f t="shared" si="0"/>
        <v>29</v>
      </c>
      <c r="G33" s="2">
        <v>6395</v>
      </c>
      <c r="H33" s="2">
        <v>32767</v>
      </c>
      <c r="I33" s="2">
        <f t="shared" si="1"/>
        <v>39162</v>
      </c>
      <c r="J33" s="2">
        <v>12</v>
      </c>
      <c r="K33" s="2">
        <v>0</v>
      </c>
      <c r="L33" s="43">
        <f t="shared" si="2"/>
        <v>12</v>
      </c>
      <c r="M33" s="40">
        <f t="shared" si="3"/>
        <v>39203</v>
      </c>
    </row>
    <row r="34" spans="2:13">
      <c r="B34" s="23"/>
      <c r="C34" s="16" t="s">
        <v>88</v>
      </c>
      <c r="D34" s="2">
        <v>2601</v>
      </c>
      <c r="E34" s="2">
        <v>88</v>
      </c>
      <c r="F34" s="2">
        <f t="shared" si="0"/>
        <v>2689</v>
      </c>
      <c r="G34" s="2">
        <v>8735</v>
      </c>
      <c r="H34" s="2">
        <v>11320</v>
      </c>
      <c r="I34" s="2">
        <f t="shared" si="1"/>
        <v>20055</v>
      </c>
      <c r="J34" s="2">
        <v>11724</v>
      </c>
      <c r="K34" s="2">
        <v>2649</v>
      </c>
      <c r="L34" s="43">
        <f t="shared" si="2"/>
        <v>14373</v>
      </c>
      <c r="M34" s="40">
        <f t="shared" si="3"/>
        <v>37117</v>
      </c>
    </row>
    <row r="35" spans="2:13">
      <c r="B35" s="21" t="s">
        <v>89</v>
      </c>
      <c r="C35" s="16" t="s">
        <v>90</v>
      </c>
      <c r="D35" s="2">
        <v>839</v>
      </c>
      <c r="E35" s="2">
        <v>168</v>
      </c>
      <c r="F35" s="2">
        <f t="shared" si="0"/>
        <v>1007</v>
      </c>
      <c r="G35" s="2">
        <v>0</v>
      </c>
      <c r="H35" s="2">
        <v>1945</v>
      </c>
      <c r="I35" s="2">
        <f t="shared" si="1"/>
        <v>1945</v>
      </c>
      <c r="J35" s="2">
        <v>0</v>
      </c>
      <c r="K35" s="2">
        <v>0</v>
      </c>
      <c r="L35" s="43">
        <f t="shared" si="2"/>
        <v>0</v>
      </c>
      <c r="M35" s="40">
        <f t="shared" si="3"/>
        <v>2952</v>
      </c>
    </row>
    <row r="36" spans="2:13">
      <c r="B36" s="22"/>
      <c r="C36" s="16" t="s">
        <v>91</v>
      </c>
      <c r="D36" s="2">
        <v>207</v>
      </c>
      <c r="E36" s="2">
        <v>58</v>
      </c>
      <c r="F36" s="2">
        <f t="shared" si="0"/>
        <v>265</v>
      </c>
      <c r="G36" s="2">
        <v>0</v>
      </c>
      <c r="H36" s="2">
        <v>2000</v>
      </c>
      <c r="I36" s="2">
        <f t="shared" si="1"/>
        <v>2000</v>
      </c>
      <c r="J36" s="2">
        <v>3</v>
      </c>
      <c r="K36" s="2">
        <v>4</v>
      </c>
      <c r="L36" s="43">
        <f t="shared" si="2"/>
        <v>7</v>
      </c>
      <c r="M36" s="40">
        <f t="shared" si="3"/>
        <v>2272</v>
      </c>
    </row>
    <row r="37" spans="2:13">
      <c r="B37" s="22"/>
      <c r="C37" s="16" t="s">
        <v>92</v>
      </c>
      <c r="D37" s="2">
        <v>154</v>
      </c>
      <c r="E37" s="2">
        <v>111</v>
      </c>
      <c r="F37" s="2">
        <f t="shared" si="0"/>
        <v>265</v>
      </c>
      <c r="G37" s="2">
        <v>0</v>
      </c>
      <c r="H37" s="2">
        <v>4172</v>
      </c>
      <c r="I37" s="2">
        <f t="shared" si="1"/>
        <v>4172</v>
      </c>
      <c r="J37" s="2">
        <v>52</v>
      </c>
      <c r="K37" s="2">
        <v>1225</v>
      </c>
      <c r="L37" s="43">
        <f t="shared" si="2"/>
        <v>1277</v>
      </c>
      <c r="M37" s="40">
        <f t="shared" si="3"/>
        <v>5714</v>
      </c>
    </row>
    <row r="38" spans="2:13">
      <c r="B38" s="22"/>
      <c r="C38" s="16" t="s">
        <v>93</v>
      </c>
      <c r="D38" s="2">
        <v>0</v>
      </c>
      <c r="E38" s="2">
        <v>0</v>
      </c>
      <c r="F38" s="2">
        <f t="shared" si="0"/>
        <v>0</v>
      </c>
      <c r="G38" s="2">
        <v>0</v>
      </c>
      <c r="H38" s="2">
        <v>154</v>
      </c>
      <c r="I38" s="2">
        <f t="shared" si="1"/>
        <v>154</v>
      </c>
      <c r="J38" s="2">
        <v>0</v>
      </c>
      <c r="K38" s="2">
        <v>0</v>
      </c>
      <c r="L38" s="43">
        <f t="shared" si="2"/>
        <v>0</v>
      </c>
      <c r="M38" s="40">
        <f t="shared" si="3"/>
        <v>154</v>
      </c>
    </row>
    <row r="39" spans="2:13">
      <c r="B39" s="22"/>
      <c r="C39" s="16" t="s">
        <v>94</v>
      </c>
      <c r="D39" s="2">
        <v>137</v>
      </c>
      <c r="E39" s="2">
        <v>0</v>
      </c>
      <c r="F39" s="2">
        <f t="shared" si="0"/>
        <v>137</v>
      </c>
      <c r="G39" s="2">
        <v>0</v>
      </c>
      <c r="H39" s="2">
        <v>0</v>
      </c>
      <c r="I39" s="2">
        <f t="shared" si="1"/>
        <v>0</v>
      </c>
      <c r="J39" s="2">
        <v>12</v>
      </c>
      <c r="K39" s="2">
        <v>0</v>
      </c>
      <c r="L39" s="43">
        <f t="shared" si="2"/>
        <v>12</v>
      </c>
      <c r="M39" s="40">
        <f t="shared" si="3"/>
        <v>149</v>
      </c>
    </row>
    <row r="40" spans="2:13">
      <c r="B40" s="23"/>
      <c r="C40" s="16" t="s">
        <v>95</v>
      </c>
      <c r="D40" s="2">
        <v>0</v>
      </c>
      <c r="E40" s="2">
        <v>0</v>
      </c>
      <c r="F40" s="2">
        <f t="shared" si="0"/>
        <v>0</v>
      </c>
      <c r="G40" s="2">
        <v>0</v>
      </c>
      <c r="H40" s="2">
        <v>0</v>
      </c>
      <c r="I40" s="2">
        <f t="shared" si="1"/>
        <v>0</v>
      </c>
      <c r="J40" s="2">
        <v>0</v>
      </c>
      <c r="K40" s="2">
        <v>200</v>
      </c>
      <c r="L40" s="43">
        <f t="shared" si="2"/>
        <v>200</v>
      </c>
      <c r="M40" s="40">
        <f t="shared" si="3"/>
        <v>200</v>
      </c>
    </row>
    <row r="41" spans="2:13">
      <c r="B41" s="14" t="s">
        <v>96</v>
      </c>
      <c r="C41" s="16" t="s">
        <v>97</v>
      </c>
      <c r="D41" s="2">
        <v>32</v>
      </c>
      <c r="E41" s="2">
        <v>0</v>
      </c>
      <c r="F41" s="2">
        <f t="shared" si="0"/>
        <v>32</v>
      </c>
      <c r="G41" s="2">
        <v>4441</v>
      </c>
      <c r="H41" s="2">
        <v>20430</v>
      </c>
      <c r="I41" s="2">
        <f t="shared" si="1"/>
        <v>24871</v>
      </c>
      <c r="J41" s="2">
        <v>0</v>
      </c>
      <c r="K41" s="2">
        <v>0</v>
      </c>
      <c r="L41" s="43">
        <f t="shared" si="2"/>
        <v>0</v>
      </c>
      <c r="M41" s="40">
        <f t="shared" si="3"/>
        <v>24903</v>
      </c>
    </row>
    <row r="42" spans="2:13">
      <c r="B42" s="14" t="s">
        <v>98</v>
      </c>
      <c r="C42" s="16" t="s">
        <v>99</v>
      </c>
      <c r="D42" s="2">
        <v>162</v>
      </c>
      <c r="E42" s="2">
        <v>0</v>
      </c>
      <c r="F42" s="2">
        <f t="shared" si="0"/>
        <v>162</v>
      </c>
      <c r="G42" s="2">
        <v>0</v>
      </c>
      <c r="H42" s="2">
        <v>0</v>
      </c>
      <c r="I42" s="2">
        <f t="shared" si="1"/>
        <v>0</v>
      </c>
      <c r="J42" s="2">
        <v>0</v>
      </c>
      <c r="K42" s="2">
        <v>0</v>
      </c>
      <c r="L42" s="43">
        <f t="shared" si="2"/>
        <v>0</v>
      </c>
      <c r="M42" s="40">
        <f t="shared" si="3"/>
        <v>162</v>
      </c>
    </row>
    <row r="43" spans="2:13">
      <c r="B43" s="14" t="s">
        <v>100</v>
      </c>
      <c r="C43" s="16" t="s">
        <v>100</v>
      </c>
      <c r="D43" s="2">
        <v>208</v>
      </c>
      <c r="E43" s="2">
        <v>167</v>
      </c>
      <c r="F43" s="2">
        <f t="shared" si="0"/>
        <v>375</v>
      </c>
      <c r="G43" s="2">
        <v>0</v>
      </c>
      <c r="H43" s="2">
        <v>0</v>
      </c>
      <c r="I43" s="2">
        <f t="shared" si="1"/>
        <v>0</v>
      </c>
      <c r="J43" s="2">
        <v>0</v>
      </c>
      <c r="K43" s="2">
        <v>0</v>
      </c>
      <c r="L43" s="43">
        <f t="shared" si="2"/>
        <v>0</v>
      </c>
      <c r="M43" s="40">
        <f t="shared" si="3"/>
        <v>375</v>
      </c>
    </row>
    <row r="44" spans="2:13">
      <c r="B44" s="21" t="s">
        <v>101</v>
      </c>
      <c r="C44" s="16" t="s">
        <v>102</v>
      </c>
      <c r="D44" s="2">
        <v>0</v>
      </c>
      <c r="E44" s="2">
        <v>249</v>
      </c>
      <c r="F44" s="2">
        <f t="shared" si="0"/>
        <v>249</v>
      </c>
      <c r="G44" s="2">
        <v>3</v>
      </c>
      <c r="H44" s="2">
        <v>157</v>
      </c>
      <c r="I44" s="2">
        <f t="shared" si="1"/>
        <v>160</v>
      </c>
      <c r="J44" s="2">
        <v>0</v>
      </c>
      <c r="K44" s="2">
        <v>0</v>
      </c>
      <c r="L44" s="43">
        <f t="shared" si="2"/>
        <v>0</v>
      </c>
      <c r="M44" s="40">
        <f t="shared" si="3"/>
        <v>409</v>
      </c>
    </row>
    <row r="45" spans="2:13">
      <c r="B45" s="23"/>
      <c r="C45" s="14" t="s">
        <v>103</v>
      </c>
      <c r="D45" s="2">
        <v>11</v>
      </c>
      <c r="E45" s="2">
        <v>8</v>
      </c>
      <c r="F45" s="2">
        <f t="shared" si="0"/>
        <v>19</v>
      </c>
      <c r="G45" s="2">
        <f>SUM(O16)</f>
        <v>0</v>
      </c>
      <c r="H45" s="2">
        <v>618</v>
      </c>
      <c r="I45" s="2">
        <f t="shared" si="1"/>
        <v>618</v>
      </c>
      <c r="J45" s="2">
        <v>0</v>
      </c>
      <c r="K45" s="2">
        <v>31</v>
      </c>
      <c r="L45" s="43">
        <f t="shared" si="2"/>
        <v>31</v>
      </c>
      <c r="M45" s="40">
        <f t="shared" si="3"/>
        <v>668</v>
      </c>
    </row>
    <row r="46" spans="2:13">
      <c r="B46" s="32" t="s">
        <v>44</v>
      </c>
      <c r="C46" s="32"/>
      <c r="D46" s="7">
        <f>SUM(D5:D45)</f>
        <v>71815</v>
      </c>
      <c r="E46" s="7">
        <f t="shared" ref="E46:L46" si="4">SUM(E5:E45)</f>
        <v>9959</v>
      </c>
      <c r="F46" s="7">
        <f t="shared" si="4"/>
        <v>81774</v>
      </c>
      <c r="G46" s="7">
        <f t="shared" si="4"/>
        <v>617538</v>
      </c>
      <c r="H46" s="7">
        <f t="shared" si="4"/>
        <v>1124741</v>
      </c>
      <c r="I46" s="7">
        <f t="shared" si="4"/>
        <v>1742279</v>
      </c>
      <c r="J46" s="7">
        <f t="shared" si="4"/>
        <v>78997</v>
      </c>
      <c r="K46" s="7">
        <f t="shared" si="4"/>
        <v>18363</v>
      </c>
      <c r="L46" s="44">
        <f t="shared" si="4"/>
        <v>97360</v>
      </c>
      <c r="M46" s="40"/>
    </row>
    <row r="49" spans="2:3">
      <c r="B49" s="13" t="s">
        <v>104</v>
      </c>
      <c r="C49" s="14">
        <v>1921415</v>
      </c>
    </row>
    <row r="50" spans="2:3">
      <c r="B50" s="13" t="s">
        <v>47</v>
      </c>
      <c r="C50" s="14">
        <v>768352</v>
      </c>
    </row>
    <row r="51" spans="2:3">
      <c r="B51" s="13" t="s">
        <v>48</v>
      </c>
      <c r="C51" s="14">
        <v>1153063</v>
      </c>
    </row>
  </sheetData>
  <mergeCells count="18">
    <mergeCell ref="M3:M4"/>
    <mergeCell ref="B46:C46"/>
    <mergeCell ref="J3:L3"/>
    <mergeCell ref="D3:F3"/>
    <mergeCell ref="G3:I3"/>
    <mergeCell ref="B5:B6"/>
    <mergeCell ref="B7:B10"/>
    <mergeCell ref="B12:B13"/>
    <mergeCell ref="B14:B18"/>
    <mergeCell ref="B19:B22"/>
    <mergeCell ref="B23:B24"/>
    <mergeCell ref="B25:B27"/>
    <mergeCell ref="B28:B29"/>
    <mergeCell ref="B30:B32"/>
    <mergeCell ref="B35:B40"/>
    <mergeCell ref="B33:B34"/>
    <mergeCell ref="D2:L2"/>
    <mergeCell ref="B44:B45"/>
  </mergeCells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D6A1-0E70-B84A-A888-4EFABFD306C8}">
  <dimension ref="B2:M279"/>
  <sheetViews>
    <sheetView zoomScale="87" workbookViewId="0">
      <selection activeCell="D10" sqref="D10"/>
    </sheetView>
  </sheetViews>
  <sheetFormatPr defaultColWidth="8.875" defaultRowHeight="17.100000000000001"/>
  <cols>
    <col min="1" max="1" width="8.875" style="15"/>
    <col min="2" max="2" width="20.375" style="15" bestFit="1" customWidth="1"/>
    <col min="3" max="3" width="21.125" style="15" bestFit="1" customWidth="1"/>
    <col min="4" max="4" width="61.875" style="15" bestFit="1" customWidth="1"/>
    <col min="5" max="13" width="15.875" style="15" customWidth="1"/>
    <col min="14" max="16384" width="8.875" style="15"/>
  </cols>
  <sheetData>
    <row r="2" spans="2:13" ht="24" customHeight="1">
      <c r="E2" s="24" t="s">
        <v>43</v>
      </c>
      <c r="F2" s="24"/>
      <c r="G2" s="24"/>
      <c r="H2" s="24"/>
      <c r="I2" s="24"/>
      <c r="J2" s="24"/>
      <c r="K2" s="24"/>
      <c r="L2" s="24"/>
      <c r="M2" s="24"/>
    </row>
    <row r="3" spans="2:13">
      <c r="E3" s="25" t="s">
        <v>1</v>
      </c>
      <c r="F3" s="26"/>
      <c r="G3" s="27"/>
      <c r="H3" s="28" t="s">
        <v>2</v>
      </c>
      <c r="I3" s="29"/>
      <c r="J3" s="30"/>
      <c r="K3" s="31" t="s">
        <v>3</v>
      </c>
      <c r="L3" s="31"/>
      <c r="M3" s="31"/>
    </row>
    <row r="4" spans="2:13">
      <c r="B4" s="11" t="s">
        <v>45</v>
      </c>
      <c r="C4" s="11" t="s">
        <v>46</v>
      </c>
      <c r="D4" s="11" t="s">
        <v>105</v>
      </c>
      <c r="E4" s="17" t="s">
        <v>47</v>
      </c>
      <c r="F4" s="17" t="s">
        <v>48</v>
      </c>
      <c r="G4" s="17" t="s">
        <v>44</v>
      </c>
      <c r="H4" s="18" t="s">
        <v>47</v>
      </c>
      <c r="I4" s="18" t="s">
        <v>48</v>
      </c>
      <c r="J4" s="18" t="s">
        <v>49</v>
      </c>
      <c r="K4" s="19" t="s">
        <v>47</v>
      </c>
      <c r="L4" s="19" t="s">
        <v>48</v>
      </c>
      <c r="M4" s="19" t="s">
        <v>49</v>
      </c>
    </row>
    <row r="5" spans="2:13" ht="17.100000000000001" customHeight="1">
      <c r="B5" s="21" t="s">
        <v>50</v>
      </c>
      <c r="C5" s="14" t="s">
        <v>51</v>
      </c>
      <c r="D5" s="14" t="s">
        <v>106</v>
      </c>
      <c r="E5" s="20">
        <v>0</v>
      </c>
      <c r="F5" s="20">
        <v>0</v>
      </c>
      <c r="G5" s="20">
        <f>SUM(E5:F5)</f>
        <v>0</v>
      </c>
      <c r="H5" s="20">
        <v>1</v>
      </c>
      <c r="I5" s="20">
        <v>0</v>
      </c>
      <c r="J5" s="20">
        <f>SUM(H5:I5)</f>
        <v>1</v>
      </c>
      <c r="K5" s="20">
        <v>0</v>
      </c>
      <c r="L5" s="20">
        <v>0</v>
      </c>
      <c r="M5" s="20">
        <f>SUM(K5:L5)</f>
        <v>0</v>
      </c>
    </row>
    <row r="6" spans="2:13" ht="17.100000000000001" customHeight="1">
      <c r="B6" s="22"/>
      <c r="C6" s="21" t="s">
        <v>52</v>
      </c>
      <c r="D6" s="14" t="s">
        <v>107</v>
      </c>
      <c r="E6" s="20">
        <v>47</v>
      </c>
      <c r="F6" s="20">
        <v>0</v>
      </c>
      <c r="G6" s="20">
        <f t="shared" ref="G6:G69" si="0">SUM(E6:F6)</f>
        <v>47</v>
      </c>
      <c r="H6" s="20">
        <v>0</v>
      </c>
      <c r="I6" s="20">
        <v>0</v>
      </c>
      <c r="J6" s="20">
        <f t="shared" ref="J6:J69" si="1">SUM(H6:I6)</f>
        <v>0</v>
      </c>
      <c r="K6" s="20">
        <v>0</v>
      </c>
      <c r="L6" s="20">
        <v>0</v>
      </c>
      <c r="M6" s="20">
        <f t="shared" ref="M6:M69" si="2">SUM(K6:L6)</f>
        <v>0</v>
      </c>
    </row>
    <row r="7" spans="2:13">
      <c r="B7" s="22"/>
      <c r="C7" s="22"/>
      <c r="D7" s="14" t="s">
        <v>108</v>
      </c>
      <c r="E7" s="20">
        <v>0</v>
      </c>
      <c r="F7" s="20">
        <v>0</v>
      </c>
      <c r="G7" s="20">
        <f t="shared" si="0"/>
        <v>0</v>
      </c>
      <c r="H7" s="20">
        <v>277</v>
      </c>
      <c r="I7" s="20">
        <v>0</v>
      </c>
      <c r="J7" s="20">
        <f t="shared" si="1"/>
        <v>277</v>
      </c>
      <c r="K7" s="20">
        <v>14</v>
      </c>
      <c r="L7" s="20">
        <v>0</v>
      </c>
      <c r="M7" s="20">
        <f t="shared" si="2"/>
        <v>14</v>
      </c>
    </row>
    <row r="8" spans="2:13" ht="17.100000000000001" customHeight="1">
      <c r="B8" s="22"/>
      <c r="C8" s="22"/>
      <c r="D8" s="14" t="s">
        <v>109</v>
      </c>
      <c r="E8" s="20">
        <v>0</v>
      </c>
      <c r="F8" s="20">
        <v>0</v>
      </c>
      <c r="G8" s="20">
        <f t="shared" si="0"/>
        <v>0</v>
      </c>
      <c r="H8" s="20">
        <v>34540</v>
      </c>
      <c r="I8" s="20">
        <v>0</v>
      </c>
      <c r="J8" s="20">
        <f t="shared" si="1"/>
        <v>34540</v>
      </c>
      <c r="K8" s="20">
        <v>0</v>
      </c>
      <c r="L8" s="20">
        <v>0</v>
      </c>
      <c r="M8" s="20">
        <f t="shared" si="2"/>
        <v>0</v>
      </c>
    </row>
    <row r="9" spans="2:13" ht="17.100000000000001" customHeight="1">
      <c r="B9" s="22"/>
      <c r="C9" s="22"/>
      <c r="D9" s="14" t="s">
        <v>110</v>
      </c>
      <c r="E9" s="20">
        <v>0</v>
      </c>
      <c r="F9" s="20">
        <v>0</v>
      </c>
      <c r="G9" s="20">
        <f t="shared" si="0"/>
        <v>0</v>
      </c>
      <c r="H9" s="20">
        <v>0</v>
      </c>
      <c r="I9" s="20">
        <v>10000</v>
      </c>
      <c r="J9" s="20">
        <f t="shared" si="1"/>
        <v>10000</v>
      </c>
      <c r="K9" s="20">
        <v>0</v>
      </c>
      <c r="L9" s="20">
        <v>0</v>
      </c>
      <c r="M9" s="20">
        <f t="shared" si="2"/>
        <v>0</v>
      </c>
    </row>
    <row r="10" spans="2:13" ht="17.100000000000001" customHeight="1">
      <c r="B10" s="22"/>
      <c r="C10" s="22"/>
      <c r="D10" s="14" t="s">
        <v>111</v>
      </c>
      <c r="E10" s="20">
        <v>46</v>
      </c>
      <c r="F10" s="20">
        <v>0</v>
      </c>
      <c r="G10" s="20">
        <f t="shared" si="0"/>
        <v>46</v>
      </c>
      <c r="H10" s="20">
        <v>0</v>
      </c>
      <c r="I10" s="20">
        <v>0</v>
      </c>
      <c r="J10" s="20">
        <f t="shared" si="1"/>
        <v>0</v>
      </c>
      <c r="K10" s="20">
        <v>5</v>
      </c>
      <c r="L10" s="20">
        <v>0</v>
      </c>
      <c r="M10" s="20">
        <f t="shared" si="2"/>
        <v>5</v>
      </c>
    </row>
    <row r="11" spans="2:13">
      <c r="B11" s="22"/>
      <c r="C11" s="22"/>
      <c r="D11" s="14" t="s">
        <v>112</v>
      </c>
      <c r="E11" s="20">
        <v>0</v>
      </c>
      <c r="F11" s="20">
        <v>0</v>
      </c>
      <c r="G11" s="20">
        <f t="shared" si="0"/>
        <v>0</v>
      </c>
      <c r="H11" s="20">
        <v>0</v>
      </c>
      <c r="I11" s="20">
        <v>20011</v>
      </c>
      <c r="J11" s="20">
        <f t="shared" si="1"/>
        <v>20011</v>
      </c>
      <c r="K11" s="20">
        <v>0</v>
      </c>
      <c r="L11" s="20">
        <v>0</v>
      </c>
      <c r="M11" s="20">
        <f t="shared" si="2"/>
        <v>0</v>
      </c>
    </row>
    <row r="12" spans="2:13">
      <c r="B12" s="22"/>
      <c r="C12" s="22"/>
      <c r="D12" s="14" t="s">
        <v>113</v>
      </c>
      <c r="E12" s="20">
        <v>0</v>
      </c>
      <c r="F12" s="20">
        <v>0</v>
      </c>
      <c r="G12" s="20">
        <f t="shared" si="0"/>
        <v>0</v>
      </c>
      <c r="H12" s="20">
        <v>0</v>
      </c>
      <c r="I12" s="20">
        <v>20011</v>
      </c>
      <c r="J12" s="20">
        <f t="shared" si="1"/>
        <v>20011</v>
      </c>
      <c r="K12" s="20">
        <v>0</v>
      </c>
      <c r="L12" s="20">
        <v>0</v>
      </c>
      <c r="M12" s="20">
        <f t="shared" si="2"/>
        <v>0</v>
      </c>
    </row>
    <row r="13" spans="2:13">
      <c r="B13" s="22"/>
      <c r="C13" s="22"/>
      <c r="D13" s="14" t="s">
        <v>114</v>
      </c>
      <c r="E13" s="20">
        <v>0</v>
      </c>
      <c r="F13" s="20">
        <v>0</v>
      </c>
      <c r="G13" s="20">
        <f t="shared" si="0"/>
        <v>0</v>
      </c>
      <c r="H13" s="20">
        <v>2</v>
      </c>
      <c r="I13" s="20">
        <v>0</v>
      </c>
      <c r="J13" s="20">
        <f t="shared" si="1"/>
        <v>2</v>
      </c>
      <c r="K13" s="20">
        <v>0</v>
      </c>
      <c r="L13" s="20">
        <v>0</v>
      </c>
      <c r="M13" s="20">
        <f t="shared" si="2"/>
        <v>0</v>
      </c>
    </row>
    <row r="14" spans="2:13">
      <c r="B14" s="22"/>
      <c r="C14" s="22"/>
      <c r="D14" s="14" t="s">
        <v>115</v>
      </c>
      <c r="E14" s="20">
        <v>0</v>
      </c>
      <c r="F14" s="20">
        <v>0</v>
      </c>
      <c r="G14" s="20">
        <f t="shared" si="0"/>
        <v>0</v>
      </c>
      <c r="H14" s="20">
        <v>30160</v>
      </c>
      <c r="I14" s="20">
        <v>7</v>
      </c>
      <c r="J14" s="20">
        <f t="shared" si="1"/>
        <v>30167</v>
      </c>
      <c r="K14" s="20">
        <v>0</v>
      </c>
      <c r="L14" s="20">
        <v>0</v>
      </c>
      <c r="M14" s="20">
        <f t="shared" si="2"/>
        <v>0</v>
      </c>
    </row>
    <row r="15" spans="2:13">
      <c r="B15" s="22"/>
      <c r="C15" s="22"/>
      <c r="D15" s="14" t="s">
        <v>116</v>
      </c>
      <c r="E15" s="20">
        <v>0</v>
      </c>
      <c r="F15" s="20">
        <v>0</v>
      </c>
      <c r="G15" s="20">
        <f t="shared" si="0"/>
        <v>0</v>
      </c>
      <c r="H15" s="20">
        <v>0</v>
      </c>
      <c r="I15" s="20">
        <v>9988</v>
      </c>
      <c r="J15" s="20">
        <f t="shared" si="1"/>
        <v>9988</v>
      </c>
      <c r="K15" s="20">
        <v>0</v>
      </c>
      <c r="L15" s="20">
        <v>0</v>
      </c>
      <c r="M15" s="20">
        <f t="shared" si="2"/>
        <v>0</v>
      </c>
    </row>
    <row r="16" spans="2:13">
      <c r="B16" s="22"/>
      <c r="C16" s="22"/>
      <c r="D16" s="14" t="s">
        <v>117</v>
      </c>
      <c r="E16" s="20">
        <v>0</v>
      </c>
      <c r="F16" s="20">
        <v>0</v>
      </c>
      <c r="G16" s="20">
        <f t="shared" si="0"/>
        <v>0</v>
      </c>
      <c r="H16" s="20">
        <v>153</v>
      </c>
      <c r="I16" s="20">
        <v>0</v>
      </c>
      <c r="J16" s="20">
        <f t="shared" si="1"/>
        <v>153</v>
      </c>
      <c r="K16" s="20">
        <v>0</v>
      </c>
      <c r="L16" s="20">
        <v>0</v>
      </c>
      <c r="M16" s="20">
        <f t="shared" si="2"/>
        <v>0</v>
      </c>
    </row>
    <row r="17" spans="2:13">
      <c r="B17" s="22"/>
      <c r="C17" s="22"/>
      <c r="D17" s="14" t="s">
        <v>118</v>
      </c>
      <c r="E17" s="20">
        <v>0</v>
      </c>
      <c r="F17" s="20">
        <v>0</v>
      </c>
      <c r="G17" s="20">
        <f t="shared" si="0"/>
        <v>0</v>
      </c>
      <c r="H17" s="20">
        <v>0</v>
      </c>
      <c r="I17" s="20">
        <v>250</v>
      </c>
      <c r="J17" s="20">
        <f t="shared" si="1"/>
        <v>250</v>
      </c>
      <c r="K17" s="20">
        <v>0</v>
      </c>
      <c r="L17" s="20">
        <v>0</v>
      </c>
      <c r="M17" s="20">
        <f t="shared" si="2"/>
        <v>0</v>
      </c>
    </row>
    <row r="18" spans="2:13">
      <c r="B18" s="22"/>
      <c r="C18" s="22"/>
      <c r="D18" s="14" t="s">
        <v>119</v>
      </c>
      <c r="E18" s="20">
        <v>0</v>
      </c>
      <c r="F18" s="20">
        <v>0</v>
      </c>
      <c r="G18" s="20">
        <f t="shared" si="0"/>
        <v>0</v>
      </c>
      <c r="H18" s="20">
        <v>577</v>
      </c>
      <c r="I18" s="20">
        <v>0</v>
      </c>
      <c r="J18" s="20">
        <f t="shared" si="1"/>
        <v>577</v>
      </c>
      <c r="K18" s="20">
        <v>0</v>
      </c>
      <c r="L18" s="20">
        <v>0</v>
      </c>
      <c r="M18" s="20">
        <f t="shared" si="2"/>
        <v>0</v>
      </c>
    </row>
    <row r="19" spans="2:13">
      <c r="B19" s="22"/>
      <c r="C19" s="22"/>
      <c r="D19" s="14" t="s">
        <v>120</v>
      </c>
      <c r="E19" s="20">
        <v>0</v>
      </c>
      <c r="F19" s="20">
        <v>0</v>
      </c>
      <c r="G19" s="20">
        <f t="shared" si="0"/>
        <v>0</v>
      </c>
      <c r="H19" s="20">
        <v>0</v>
      </c>
      <c r="I19" s="20">
        <v>33</v>
      </c>
      <c r="J19" s="20">
        <f t="shared" si="1"/>
        <v>33</v>
      </c>
      <c r="K19" s="20">
        <v>0</v>
      </c>
      <c r="L19" s="20">
        <v>0</v>
      </c>
      <c r="M19" s="20">
        <f t="shared" si="2"/>
        <v>0</v>
      </c>
    </row>
    <row r="20" spans="2:13">
      <c r="B20" s="22"/>
      <c r="C20" s="22"/>
      <c r="D20" s="14" t="s">
        <v>121</v>
      </c>
      <c r="E20" s="20">
        <v>0</v>
      </c>
      <c r="F20" s="20">
        <v>0</v>
      </c>
      <c r="G20" s="20">
        <f t="shared" si="0"/>
        <v>0</v>
      </c>
      <c r="H20" s="20">
        <v>0</v>
      </c>
      <c r="I20" s="20">
        <v>10000</v>
      </c>
      <c r="J20" s="20">
        <f t="shared" si="1"/>
        <v>10000</v>
      </c>
      <c r="K20" s="20">
        <v>0</v>
      </c>
      <c r="L20" s="20">
        <v>0</v>
      </c>
      <c r="M20" s="20">
        <f t="shared" si="2"/>
        <v>0</v>
      </c>
    </row>
    <row r="21" spans="2:13">
      <c r="B21" s="22"/>
      <c r="C21" s="22"/>
      <c r="D21" s="14" t="s">
        <v>106</v>
      </c>
      <c r="E21" s="20">
        <v>0</v>
      </c>
      <c r="F21" s="20">
        <v>0</v>
      </c>
      <c r="G21" s="20">
        <f t="shared" si="0"/>
        <v>0</v>
      </c>
      <c r="H21" s="20">
        <v>671</v>
      </c>
      <c r="I21" s="20">
        <v>0</v>
      </c>
      <c r="J21" s="20">
        <f t="shared" si="1"/>
        <v>671</v>
      </c>
      <c r="K21" s="20">
        <v>33</v>
      </c>
      <c r="L21" s="20">
        <v>0</v>
      </c>
      <c r="M21" s="20">
        <f t="shared" si="2"/>
        <v>33</v>
      </c>
    </row>
    <row r="22" spans="2:13">
      <c r="B22" s="22"/>
      <c r="C22" s="22"/>
      <c r="D22" s="14" t="s">
        <v>122</v>
      </c>
      <c r="E22" s="20">
        <v>0</v>
      </c>
      <c r="F22" s="20">
        <v>0</v>
      </c>
      <c r="G22" s="20">
        <f t="shared" si="0"/>
        <v>0</v>
      </c>
      <c r="H22" s="20">
        <v>0</v>
      </c>
      <c r="I22" s="20">
        <v>30000</v>
      </c>
      <c r="J22" s="20">
        <f t="shared" si="1"/>
        <v>30000</v>
      </c>
      <c r="K22" s="20">
        <v>0</v>
      </c>
      <c r="L22" s="20">
        <v>0</v>
      </c>
      <c r="M22" s="20">
        <f t="shared" si="2"/>
        <v>0</v>
      </c>
    </row>
    <row r="23" spans="2:13">
      <c r="B23" s="22"/>
      <c r="C23" s="22"/>
      <c r="D23" s="14" t="s">
        <v>123</v>
      </c>
      <c r="E23" s="20">
        <v>0</v>
      </c>
      <c r="F23" s="20">
        <v>0</v>
      </c>
      <c r="G23" s="20">
        <f t="shared" si="0"/>
        <v>0</v>
      </c>
      <c r="H23" s="20">
        <v>379</v>
      </c>
      <c r="I23" s="20">
        <v>0</v>
      </c>
      <c r="J23" s="20">
        <f t="shared" si="1"/>
        <v>379</v>
      </c>
      <c r="K23" s="20">
        <v>0</v>
      </c>
      <c r="L23" s="20">
        <v>0</v>
      </c>
      <c r="M23" s="20">
        <f t="shared" si="2"/>
        <v>0</v>
      </c>
    </row>
    <row r="24" spans="2:13">
      <c r="B24" s="23"/>
      <c r="C24" s="23"/>
      <c r="D24" s="14" t="s">
        <v>124</v>
      </c>
      <c r="E24" s="20">
        <v>0</v>
      </c>
      <c r="F24" s="20">
        <v>0</v>
      </c>
      <c r="G24" s="20">
        <f t="shared" si="0"/>
        <v>0</v>
      </c>
      <c r="H24" s="20">
        <v>0</v>
      </c>
      <c r="I24" s="20">
        <v>1000</v>
      </c>
      <c r="J24" s="20">
        <f t="shared" si="1"/>
        <v>1000</v>
      </c>
      <c r="K24" s="20">
        <v>0</v>
      </c>
      <c r="L24" s="20">
        <v>0</v>
      </c>
      <c r="M24" s="20">
        <f t="shared" si="2"/>
        <v>0</v>
      </c>
    </row>
    <row r="25" spans="2:13">
      <c r="B25" s="21" t="s">
        <v>53</v>
      </c>
      <c r="C25" s="14" t="s">
        <v>54</v>
      </c>
      <c r="D25" s="14" t="s">
        <v>125</v>
      </c>
      <c r="E25" s="20">
        <v>0</v>
      </c>
      <c r="F25" s="20">
        <v>0</v>
      </c>
      <c r="G25" s="20">
        <f t="shared" si="0"/>
        <v>0</v>
      </c>
      <c r="H25" s="20">
        <v>448</v>
      </c>
      <c r="I25" s="20">
        <v>2</v>
      </c>
      <c r="J25" s="20">
        <f t="shared" si="1"/>
        <v>450</v>
      </c>
      <c r="K25" s="20">
        <v>0</v>
      </c>
      <c r="L25" s="20">
        <v>0</v>
      </c>
      <c r="M25" s="20">
        <f t="shared" si="2"/>
        <v>0</v>
      </c>
    </row>
    <row r="26" spans="2:13">
      <c r="B26" s="22"/>
      <c r="C26" s="14" t="s">
        <v>55</v>
      </c>
      <c r="D26" s="14" t="s">
        <v>125</v>
      </c>
      <c r="E26" s="20">
        <v>0</v>
      </c>
      <c r="F26" s="20">
        <v>0</v>
      </c>
      <c r="G26" s="20">
        <f t="shared" si="0"/>
        <v>0</v>
      </c>
      <c r="H26" s="20">
        <v>107</v>
      </c>
      <c r="I26" s="20">
        <v>0</v>
      </c>
      <c r="J26" s="20">
        <f t="shared" si="1"/>
        <v>107</v>
      </c>
      <c r="K26" s="20">
        <v>0</v>
      </c>
      <c r="L26" s="20">
        <v>0</v>
      </c>
      <c r="M26" s="20">
        <f t="shared" si="2"/>
        <v>0</v>
      </c>
    </row>
    <row r="27" spans="2:13">
      <c r="B27" s="22"/>
      <c r="C27" s="21" t="s">
        <v>56</v>
      </c>
      <c r="D27" s="14" t="s">
        <v>126</v>
      </c>
      <c r="E27" s="20">
        <v>45</v>
      </c>
      <c r="F27" s="20">
        <v>0</v>
      </c>
      <c r="G27" s="20">
        <f t="shared" si="0"/>
        <v>45</v>
      </c>
      <c r="H27" s="20">
        <v>0</v>
      </c>
      <c r="I27" s="20">
        <v>0</v>
      </c>
      <c r="J27" s="20">
        <f t="shared" si="1"/>
        <v>0</v>
      </c>
      <c r="K27" s="20">
        <v>0</v>
      </c>
      <c r="L27" s="20">
        <v>0</v>
      </c>
      <c r="M27" s="20">
        <f t="shared" si="2"/>
        <v>0</v>
      </c>
    </row>
    <row r="28" spans="2:13">
      <c r="B28" s="22"/>
      <c r="C28" s="22"/>
      <c r="D28" s="14" t="s">
        <v>127</v>
      </c>
      <c r="E28" s="20">
        <v>0</v>
      </c>
      <c r="F28" s="20">
        <v>0</v>
      </c>
      <c r="G28" s="20">
        <f t="shared" si="0"/>
        <v>0</v>
      </c>
      <c r="H28" s="20">
        <v>9</v>
      </c>
      <c r="I28" s="20">
        <v>0</v>
      </c>
      <c r="J28" s="20">
        <f t="shared" si="1"/>
        <v>9</v>
      </c>
      <c r="K28" s="20">
        <v>0</v>
      </c>
      <c r="L28" s="20">
        <v>0</v>
      </c>
      <c r="M28" s="20">
        <f t="shared" si="2"/>
        <v>0</v>
      </c>
    </row>
    <row r="29" spans="2:13">
      <c r="B29" s="22"/>
      <c r="C29" s="22"/>
      <c r="D29" s="14" t="s">
        <v>128</v>
      </c>
      <c r="E29" s="20">
        <v>19</v>
      </c>
      <c r="F29" s="20">
        <v>0</v>
      </c>
      <c r="G29" s="20">
        <f t="shared" si="0"/>
        <v>19</v>
      </c>
      <c r="H29" s="20">
        <v>0</v>
      </c>
      <c r="I29" s="20">
        <v>0</v>
      </c>
      <c r="J29" s="20">
        <f t="shared" si="1"/>
        <v>0</v>
      </c>
      <c r="K29" s="20">
        <v>0</v>
      </c>
      <c r="L29" s="20">
        <v>0</v>
      </c>
      <c r="M29" s="20">
        <f t="shared" si="2"/>
        <v>0</v>
      </c>
    </row>
    <row r="30" spans="2:13">
      <c r="B30" s="22"/>
      <c r="C30" s="22"/>
      <c r="D30" s="14" t="s">
        <v>129</v>
      </c>
      <c r="E30" s="20">
        <v>0</v>
      </c>
      <c r="F30" s="20">
        <v>0</v>
      </c>
      <c r="G30" s="20">
        <f t="shared" si="0"/>
        <v>0</v>
      </c>
      <c r="H30" s="20">
        <v>1</v>
      </c>
      <c r="I30" s="20">
        <v>49998</v>
      </c>
      <c r="J30" s="20">
        <f t="shared" si="1"/>
        <v>49999</v>
      </c>
      <c r="K30" s="20">
        <v>0</v>
      </c>
      <c r="L30" s="20">
        <v>0</v>
      </c>
      <c r="M30" s="20">
        <f t="shared" si="2"/>
        <v>0</v>
      </c>
    </row>
    <row r="31" spans="2:13">
      <c r="B31" s="22"/>
      <c r="C31" s="22"/>
      <c r="D31" s="14" t="s">
        <v>130</v>
      </c>
      <c r="E31" s="20">
        <v>0</v>
      </c>
      <c r="F31" s="20">
        <v>0</v>
      </c>
      <c r="G31" s="20">
        <f t="shared" si="0"/>
        <v>0</v>
      </c>
      <c r="H31" s="20">
        <v>13</v>
      </c>
      <c r="I31" s="20">
        <v>0</v>
      </c>
      <c r="J31" s="20">
        <f t="shared" si="1"/>
        <v>13</v>
      </c>
      <c r="K31" s="20">
        <v>0</v>
      </c>
      <c r="L31" s="20">
        <v>0</v>
      </c>
      <c r="M31" s="20">
        <f t="shared" si="2"/>
        <v>0</v>
      </c>
    </row>
    <row r="32" spans="2:13">
      <c r="B32" s="22"/>
      <c r="C32" s="22"/>
      <c r="D32" s="14" t="s">
        <v>131</v>
      </c>
      <c r="E32" s="20">
        <v>0</v>
      </c>
      <c r="F32" s="20">
        <v>0</v>
      </c>
      <c r="G32" s="20">
        <f t="shared" si="0"/>
        <v>0</v>
      </c>
      <c r="H32" s="20">
        <v>6010</v>
      </c>
      <c r="I32" s="20">
        <v>0</v>
      </c>
      <c r="J32" s="20">
        <f t="shared" si="1"/>
        <v>6010</v>
      </c>
      <c r="K32" s="20">
        <v>0</v>
      </c>
      <c r="L32" s="20">
        <v>0</v>
      </c>
      <c r="M32" s="20">
        <f t="shared" si="2"/>
        <v>0</v>
      </c>
    </row>
    <row r="33" spans="2:13">
      <c r="B33" s="22"/>
      <c r="C33" s="22"/>
      <c r="D33" s="14" t="s">
        <v>132</v>
      </c>
      <c r="E33" s="20">
        <v>0</v>
      </c>
      <c r="F33" s="20">
        <v>0</v>
      </c>
      <c r="G33" s="20">
        <f t="shared" si="0"/>
        <v>0</v>
      </c>
      <c r="H33" s="20">
        <v>0</v>
      </c>
      <c r="I33" s="20">
        <v>1</v>
      </c>
      <c r="J33" s="20">
        <f t="shared" si="1"/>
        <v>1</v>
      </c>
      <c r="K33" s="20">
        <v>0</v>
      </c>
      <c r="L33" s="20">
        <v>0</v>
      </c>
      <c r="M33" s="20">
        <f t="shared" si="2"/>
        <v>0</v>
      </c>
    </row>
    <row r="34" spans="2:13">
      <c r="B34" s="22"/>
      <c r="C34" s="22"/>
      <c r="D34" s="14" t="s">
        <v>125</v>
      </c>
      <c r="E34" s="20">
        <v>0</v>
      </c>
      <c r="F34" s="20">
        <v>0</v>
      </c>
      <c r="G34" s="20">
        <f t="shared" si="0"/>
        <v>0</v>
      </c>
      <c r="H34" s="20">
        <v>1483</v>
      </c>
      <c r="I34" s="20">
        <v>0</v>
      </c>
      <c r="J34" s="20">
        <f t="shared" si="1"/>
        <v>1483</v>
      </c>
      <c r="K34" s="20">
        <v>0</v>
      </c>
      <c r="L34" s="20">
        <v>0</v>
      </c>
      <c r="M34" s="20">
        <f t="shared" si="2"/>
        <v>0</v>
      </c>
    </row>
    <row r="35" spans="2:13">
      <c r="B35" s="22"/>
      <c r="C35" s="22"/>
      <c r="D35" s="14" t="s">
        <v>133</v>
      </c>
      <c r="E35" s="20">
        <v>0</v>
      </c>
      <c r="F35" s="20">
        <v>0</v>
      </c>
      <c r="G35" s="20">
        <f t="shared" si="0"/>
        <v>0</v>
      </c>
      <c r="H35" s="20">
        <v>0</v>
      </c>
      <c r="I35" s="20">
        <v>8788</v>
      </c>
      <c r="J35" s="20">
        <f t="shared" si="1"/>
        <v>8788</v>
      </c>
      <c r="K35" s="20">
        <v>0</v>
      </c>
      <c r="L35" s="20">
        <v>0</v>
      </c>
      <c r="M35" s="20">
        <f t="shared" si="2"/>
        <v>0</v>
      </c>
    </row>
    <row r="36" spans="2:13">
      <c r="B36" s="22"/>
      <c r="C36" s="22"/>
      <c r="D36" s="14" t="s">
        <v>119</v>
      </c>
      <c r="E36" s="20">
        <v>0</v>
      </c>
      <c r="F36" s="20">
        <v>0</v>
      </c>
      <c r="G36" s="20">
        <f t="shared" si="0"/>
        <v>0</v>
      </c>
      <c r="H36" s="20">
        <v>1663</v>
      </c>
      <c r="I36" s="20">
        <v>429</v>
      </c>
      <c r="J36" s="20">
        <f t="shared" si="1"/>
        <v>2092</v>
      </c>
      <c r="K36" s="20">
        <v>0</v>
      </c>
      <c r="L36" s="20">
        <v>0</v>
      </c>
      <c r="M36" s="20">
        <f t="shared" si="2"/>
        <v>0</v>
      </c>
    </row>
    <row r="37" spans="2:13">
      <c r="B37" s="22"/>
      <c r="C37" s="22"/>
      <c r="D37" s="14" t="s">
        <v>134</v>
      </c>
      <c r="E37" s="20">
        <v>0</v>
      </c>
      <c r="F37" s="20">
        <v>0</v>
      </c>
      <c r="G37" s="20">
        <f t="shared" si="0"/>
        <v>0</v>
      </c>
      <c r="H37" s="20">
        <v>0</v>
      </c>
      <c r="I37" s="20">
        <v>358</v>
      </c>
      <c r="J37" s="20">
        <f t="shared" si="1"/>
        <v>358</v>
      </c>
      <c r="K37" s="20">
        <v>0</v>
      </c>
      <c r="L37" s="20">
        <v>0</v>
      </c>
      <c r="M37" s="20">
        <f t="shared" si="2"/>
        <v>0</v>
      </c>
    </row>
    <row r="38" spans="2:13">
      <c r="B38" s="22"/>
      <c r="C38" s="22"/>
      <c r="D38" s="14" t="s">
        <v>135</v>
      </c>
      <c r="E38" s="20">
        <v>0</v>
      </c>
      <c r="F38" s="20">
        <v>0</v>
      </c>
      <c r="G38" s="20">
        <f t="shared" si="0"/>
        <v>0</v>
      </c>
      <c r="H38" s="20">
        <v>2</v>
      </c>
      <c r="I38" s="20">
        <v>16842</v>
      </c>
      <c r="J38" s="20">
        <f t="shared" si="1"/>
        <v>16844</v>
      </c>
      <c r="K38" s="20">
        <v>0</v>
      </c>
      <c r="L38" s="20">
        <v>0</v>
      </c>
      <c r="M38" s="20">
        <f t="shared" si="2"/>
        <v>0</v>
      </c>
    </row>
    <row r="39" spans="2:13">
      <c r="B39" s="22"/>
      <c r="C39" s="22"/>
      <c r="D39" s="14" t="s">
        <v>136</v>
      </c>
      <c r="E39" s="20">
        <v>0</v>
      </c>
      <c r="F39" s="20">
        <v>0</v>
      </c>
      <c r="G39" s="20">
        <f t="shared" si="0"/>
        <v>0</v>
      </c>
      <c r="H39" s="20">
        <v>0</v>
      </c>
      <c r="I39" s="20">
        <v>8306</v>
      </c>
      <c r="J39" s="20">
        <f t="shared" si="1"/>
        <v>8306</v>
      </c>
      <c r="K39" s="20">
        <v>0</v>
      </c>
      <c r="L39" s="20">
        <v>0</v>
      </c>
      <c r="M39" s="20">
        <f t="shared" si="2"/>
        <v>0</v>
      </c>
    </row>
    <row r="40" spans="2:13">
      <c r="B40" s="22"/>
      <c r="C40" s="22"/>
      <c r="D40" s="14" t="s">
        <v>137</v>
      </c>
      <c r="E40" s="20">
        <v>0</v>
      </c>
      <c r="F40" s="20">
        <v>0</v>
      </c>
      <c r="G40" s="20">
        <f t="shared" si="0"/>
        <v>0</v>
      </c>
      <c r="H40" s="20">
        <v>0</v>
      </c>
      <c r="I40" s="20">
        <v>8214</v>
      </c>
      <c r="J40" s="20">
        <f t="shared" si="1"/>
        <v>8214</v>
      </c>
      <c r="K40" s="20">
        <v>0</v>
      </c>
      <c r="L40" s="20">
        <v>0</v>
      </c>
      <c r="M40" s="20">
        <f t="shared" si="2"/>
        <v>0</v>
      </c>
    </row>
    <row r="41" spans="2:13">
      <c r="B41" s="22"/>
      <c r="C41" s="22"/>
      <c r="D41" s="14" t="s">
        <v>138</v>
      </c>
      <c r="E41" s="20">
        <v>0</v>
      </c>
      <c r="F41" s="20">
        <v>0</v>
      </c>
      <c r="G41" s="20">
        <f t="shared" si="0"/>
        <v>0</v>
      </c>
      <c r="H41" s="20">
        <v>0</v>
      </c>
      <c r="I41" s="20">
        <v>15000</v>
      </c>
      <c r="J41" s="20">
        <f t="shared" si="1"/>
        <v>15000</v>
      </c>
      <c r="K41" s="20">
        <v>0</v>
      </c>
      <c r="L41" s="20">
        <v>0</v>
      </c>
      <c r="M41" s="20">
        <f t="shared" si="2"/>
        <v>0</v>
      </c>
    </row>
    <row r="42" spans="2:13">
      <c r="B42" s="22"/>
      <c r="C42" s="23"/>
      <c r="D42" s="14" t="s">
        <v>139</v>
      </c>
      <c r="E42" s="20">
        <v>0</v>
      </c>
      <c r="F42" s="20">
        <v>0</v>
      </c>
      <c r="G42" s="20">
        <f t="shared" si="0"/>
        <v>0</v>
      </c>
      <c r="H42" s="20">
        <v>0</v>
      </c>
      <c r="I42" s="20">
        <v>15000</v>
      </c>
      <c r="J42" s="20">
        <f t="shared" si="1"/>
        <v>15000</v>
      </c>
      <c r="K42" s="20">
        <v>0</v>
      </c>
      <c r="L42" s="20">
        <v>0</v>
      </c>
      <c r="M42" s="20">
        <f t="shared" si="2"/>
        <v>0</v>
      </c>
    </row>
    <row r="43" spans="2:13">
      <c r="B43" s="23"/>
      <c r="C43" s="14" t="s">
        <v>57</v>
      </c>
      <c r="D43" s="14" t="s">
        <v>125</v>
      </c>
      <c r="E43" s="20">
        <v>0</v>
      </c>
      <c r="F43" s="20">
        <v>0</v>
      </c>
      <c r="G43" s="20">
        <f t="shared" si="0"/>
        <v>0</v>
      </c>
      <c r="H43" s="20">
        <v>87</v>
      </c>
      <c r="I43" s="20">
        <v>0</v>
      </c>
      <c r="J43" s="20">
        <f t="shared" si="1"/>
        <v>87</v>
      </c>
      <c r="K43" s="20">
        <v>0</v>
      </c>
      <c r="L43" s="20">
        <v>0</v>
      </c>
      <c r="M43" s="20">
        <f t="shared" si="2"/>
        <v>0</v>
      </c>
    </row>
    <row r="44" spans="2:13">
      <c r="B44" s="21" t="s">
        <v>58</v>
      </c>
      <c r="C44" s="21" t="s">
        <v>59</v>
      </c>
      <c r="D44" s="14" t="s">
        <v>140</v>
      </c>
      <c r="E44" s="20">
        <v>0</v>
      </c>
      <c r="F44" s="20">
        <v>0</v>
      </c>
      <c r="G44" s="20">
        <f t="shared" si="0"/>
        <v>0</v>
      </c>
      <c r="H44" s="20">
        <v>11279</v>
      </c>
      <c r="I44" s="20">
        <v>0</v>
      </c>
      <c r="J44" s="20">
        <f t="shared" si="1"/>
        <v>11279</v>
      </c>
      <c r="K44" s="20">
        <v>0</v>
      </c>
      <c r="L44" s="20">
        <v>0</v>
      </c>
      <c r="M44" s="20">
        <f t="shared" si="2"/>
        <v>0</v>
      </c>
    </row>
    <row r="45" spans="2:13">
      <c r="B45" s="22"/>
      <c r="C45" s="22"/>
      <c r="D45" s="14" t="s">
        <v>141</v>
      </c>
      <c r="E45" s="20">
        <v>22</v>
      </c>
      <c r="F45" s="20">
        <v>0</v>
      </c>
      <c r="G45" s="20">
        <f t="shared" si="0"/>
        <v>22</v>
      </c>
      <c r="H45" s="20">
        <v>0</v>
      </c>
      <c r="I45" s="20">
        <v>0</v>
      </c>
      <c r="J45" s="20">
        <f t="shared" si="1"/>
        <v>0</v>
      </c>
      <c r="K45" s="20">
        <v>0</v>
      </c>
      <c r="L45" s="20">
        <v>0</v>
      </c>
      <c r="M45" s="20">
        <f t="shared" si="2"/>
        <v>0</v>
      </c>
    </row>
    <row r="46" spans="2:13">
      <c r="B46" s="22"/>
      <c r="C46" s="22"/>
      <c r="D46" s="14" t="s">
        <v>142</v>
      </c>
      <c r="E46" s="20">
        <v>0</v>
      </c>
      <c r="F46" s="20">
        <v>0</v>
      </c>
      <c r="G46" s="20">
        <f t="shared" si="0"/>
        <v>0</v>
      </c>
      <c r="H46" s="20">
        <v>0</v>
      </c>
      <c r="I46" s="20">
        <v>658</v>
      </c>
      <c r="J46" s="20">
        <f t="shared" si="1"/>
        <v>658</v>
      </c>
      <c r="K46" s="20">
        <v>0</v>
      </c>
      <c r="L46" s="20">
        <v>0</v>
      </c>
      <c r="M46" s="20">
        <f t="shared" si="2"/>
        <v>0</v>
      </c>
    </row>
    <row r="47" spans="2:13">
      <c r="B47" s="22"/>
      <c r="C47" s="22"/>
      <c r="D47" s="14" t="s">
        <v>143</v>
      </c>
      <c r="E47" s="20">
        <v>0</v>
      </c>
      <c r="F47" s="20">
        <v>0</v>
      </c>
      <c r="G47" s="20">
        <f t="shared" si="0"/>
        <v>0</v>
      </c>
      <c r="H47" s="20">
        <v>502</v>
      </c>
      <c r="I47" s="20">
        <v>0</v>
      </c>
      <c r="J47" s="20">
        <f t="shared" si="1"/>
        <v>502</v>
      </c>
      <c r="K47" s="20">
        <v>0</v>
      </c>
      <c r="L47" s="20">
        <v>0</v>
      </c>
      <c r="M47" s="20">
        <f t="shared" si="2"/>
        <v>0</v>
      </c>
    </row>
    <row r="48" spans="2:13">
      <c r="B48" s="22"/>
      <c r="C48" s="22"/>
      <c r="D48" s="14" t="s">
        <v>144</v>
      </c>
      <c r="E48" s="20">
        <v>0</v>
      </c>
      <c r="F48" s="20">
        <v>0</v>
      </c>
      <c r="G48" s="20">
        <f t="shared" si="0"/>
        <v>0</v>
      </c>
      <c r="H48" s="20">
        <v>0</v>
      </c>
      <c r="I48" s="20">
        <v>13625</v>
      </c>
      <c r="J48" s="20">
        <f t="shared" si="1"/>
        <v>13625</v>
      </c>
      <c r="K48" s="20">
        <v>0</v>
      </c>
      <c r="L48" s="20">
        <v>0</v>
      </c>
      <c r="M48" s="20">
        <f t="shared" si="2"/>
        <v>0</v>
      </c>
    </row>
    <row r="49" spans="2:13">
      <c r="B49" s="22"/>
      <c r="C49" s="22"/>
      <c r="D49" s="14" t="s">
        <v>145</v>
      </c>
      <c r="E49" s="20">
        <v>0</v>
      </c>
      <c r="F49" s="20">
        <v>0</v>
      </c>
      <c r="G49" s="20">
        <f t="shared" si="0"/>
        <v>0</v>
      </c>
      <c r="H49" s="20">
        <v>0</v>
      </c>
      <c r="I49" s="20">
        <v>199</v>
      </c>
      <c r="J49" s="20">
        <f t="shared" si="1"/>
        <v>199</v>
      </c>
      <c r="K49" s="20">
        <v>0</v>
      </c>
      <c r="L49" s="20">
        <v>0</v>
      </c>
      <c r="M49" s="20">
        <f t="shared" si="2"/>
        <v>0</v>
      </c>
    </row>
    <row r="50" spans="2:13">
      <c r="B50" s="22"/>
      <c r="C50" s="22"/>
      <c r="D50" s="14" t="s">
        <v>146</v>
      </c>
      <c r="E50" s="20">
        <v>0</v>
      </c>
      <c r="F50" s="20">
        <v>0</v>
      </c>
      <c r="G50" s="20">
        <f t="shared" si="0"/>
        <v>0</v>
      </c>
      <c r="H50" s="20">
        <v>0</v>
      </c>
      <c r="I50" s="20">
        <v>19273</v>
      </c>
      <c r="J50" s="20">
        <f t="shared" si="1"/>
        <v>19273</v>
      </c>
      <c r="K50" s="20">
        <v>0</v>
      </c>
      <c r="L50" s="20">
        <v>0</v>
      </c>
      <c r="M50" s="20">
        <f t="shared" si="2"/>
        <v>0</v>
      </c>
    </row>
    <row r="51" spans="2:13">
      <c r="B51" s="22"/>
      <c r="C51" s="22"/>
      <c r="D51" s="14" t="s">
        <v>119</v>
      </c>
      <c r="E51" s="20">
        <v>0</v>
      </c>
      <c r="F51" s="20">
        <v>0</v>
      </c>
      <c r="G51" s="20">
        <f t="shared" si="0"/>
        <v>0</v>
      </c>
      <c r="H51" s="20">
        <v>725</v>
      </c>
      <c r="I51" s="20">
        <v>4</v>
      </c>
      <c r="J51" s="20">
        <f t="shared" si="1"/>
        <v>729</v>
      </c>
      <c r="K51" s="20">
        <v>0</v>
      </c>
      <c r="L51" s="20">
        <v>0</v>
      </c>
      <c r="M51" s="20">
        <f t="shared" si="2"/>
        <v>0</v>
      </c>
    </row>
    <row r="52" spans="2:13">
      <c r="B52" s="22"/>
      <c r="C52" s="22"/>
      <c r="D52" s="14" t="s">
        <v>147</v>
      </c>
      <c r="E52" s="20">
        <v>0</v>
      </c>
      <c r="F52" s="20">
        <v>0</v>
      </c>
      <c r="G52" s="20">
        <f t="shared" si="0"/>
        <v>0</v>
      </c>
      <c r="H52" s="20">
        <v>57</v>
      </c>
      <c r="I52" s="20">
        <v>0</v>
      </c>
      <c r="J52" s="20">
        <f t="shared" si="1"/>
        <v>57</v>
      </c>
      <c r="K52" s="20">
        <v>0</v>
      </c>
      <c r="L52" s="20">
        <v>0</v>
      </c>
      <c r="M52" s="20">
        <f t="shared" si="2"/>
        <v>0</v>
      </c>
    </row>
    <row r="53" spans="2:13">
      <c r="B53" s="23"/>
      <c r="C53" s="23"/>
      <c r="D53" s="14" t="s">
        <v>148</v>
      </c>
      <c r="E53" s="20">
        <v>0</v>
      </c>
      <c r="F53" s="20">
        <v>0</v>
      </c>
      <c r="G53" s="20">
        <f t="shared" si="0"/>
        <v>0</v>
      </c>
      <c r="H53" s="20">
        <v>0</v>
      </c>
      <c r="I53" s="20">
        <v>8037</v>
      </c>
      <c r="J53" s="20">
        <f t="shared" si="1"/>
        <v>8037</v>
      </c>
      <c r="K53" s="20">
        <v>0</v>
      </c>
      <c r="L53" s="20">
        <v>0</v>
      </c>
      <c r="M53" s="20">
        <f t="shared" si="2"/>
        <v>0</v>
      </c>
    </row>
    <row r="54" spans="2:13">
      <c r="B54" s="21" t="s">
        <v>60</v>
      </c>
      <c r="C54" s="14" t="s">
        <v>61</v>
      </c>
      <c r="D54" s="14" t="s">
        <v>149</v>
      </c>
      <c r="E54" s="20">
        <v>0</v>
      </c>
      <c r="F54" s="20">
        <v>0</v>
      </c>
      <c r="G54" s="20">
        <f t="shared" si="0"/>
        <v>0</v>
      </c>
      <c r="H54" s="20">
        <v>0</v>
      </c>
      <c r="I54" s="20">
        <v>697</v>
      </c>
      <c r="J54" s="20">
        <f t="shared" si="1"/>
        <v>697</v>
      </c>
      <c r="K54" s="20">
        <v>0</v>
      </c>
      <c r="L54" s="20">
        <v>0</v>
      </c>
      <c r="M54" s="20">
        <f t="shared" si="2"/>
        <v>0</v>
      </c>
    </row>
    <row r="55" spans="2:13">
      <c r="B55" s="22"/>
      <c r="C55" s="21" t="s">
        <v>62</v>
      </c>
      <c r="D55" s="14" t="s">
        <v>150</v>
      </c>
      <c r="E55" s="20">
        <v>8026</v>
      </c>
      <c r="F55" s="20">
        <v>212</v>
      </c>
      <c r="G55" s="20">
        <f t="shared" si="0"/>
        <v>8238</v>
      </c>
      <c r="H55" s="20">
        <v>0</v>
      </c>
      <c r="I55" s="20">
        <v>0</v>
      </c>
      <c r="J55" s="20">
        <f t="shared" si="1"/>
        <v>0</v>
      </c>
      <c r="K55" s="20">
        <v>0</v>
      </c>
      <c r="L55" s="20">
        <v>0</v>
      </c>
      <c r="M55" s="20">
        <f t="shared" si="2"/>
        <v>0</v>
      </c>
    </row>
    <row r="56" spans="2:13">
      <c r="B56" s="22"/>
      <c r="C56" s="22"/>
      <c r="D56" s="14" t="s">
        <v>151</v>
      </c>
      <c r="E56" s="20">
        <v>137</v>
      </c>
      <c r="F56" s="20">
        <v>1</v>
      </c>
      <c r="G56" s="20">
        <f t="shared" si="0"/>
        <v>138</v>
      </c>
      <c r="H56" s="20">
        <v>0</v>
      </c>
      <c r="I56" s="20">
        <v>0</v>
      </c>
      <c r="J56" s="20">
        <f t="shared" si="1"/>
        <v>0</v>
      </c>
      <c r="K56" s="20">
        <v>0</v>
      </c>
      <c r="L56" s="20">
        <v>0</v>
      </c>
      <c r="M56" s="20">
        <f t="shared" si="2"/>
        <v>0</v>
      </c>
    </row>
    <row r="57" spans="2:13">
      <c r="B57" s="22"/>
      <c r="C57" s="22"/>
      <c r="D57" s="14" t="s">
        <v>152</v>
      </c>
      <c r="E57" s="20">
        <v>237</v>
      </c>
      <c r="F57" s="20">
        <v>3</v>
      </c>
      <c r="G57" s="20">
        <f t="shared" si="0"/>
        <v>240</v>
      </c>
      <c r="H57" s="20">
        <v>0</v>
      </c>
      <c r="I57" s="20">
        <v>0</v>
      </c>
      <c r="J57" s="20">
        <f t="shared" si="1"/>
        <v>0</v>
      </c>
      <c r="K57" s="20">
        <v>0</v>
      </c>
      <c r="L57" s="20">
        <v>0</v>
      </c>
      <c r="M57" s="20">
        <f t="shared" si="2"/>
        <v>0</v>
      </c>
    </row>
    <row r="58" spans="2:13">
      <c r="B58" s="22"/>
      <c r="C58" s="22"/>
      <c r="D58" s="14" t="s">
        <v>153</v>
      </c>
      <c r="E58" s="20">
        <v>182</v>
      </c>
      <c r="F58" s="20">
        <v>1</v>
      </c>
      <c r="G58" s="20">
        <f t="shared" si="0"/>
        <v>183</v>
      </c>
      <c r="H58" s="20">
        <v>0</v>
      </c>
      <c r="I58" s="20">
        <v>0</v>
      </c>
      <c r="J58" s="20">
        <f t="shared" si="1"/>
        <v>0</v>
      </c>
      <c r="K58" s="20">
        <v>0</v>
      </c>
      <c r="L58" s="20">
        <v>0</v>
      </c>
      <c r="M58" s="20">
        <f t="shared" si="2"/>
        <v>0</v>
      </c>
    </row>
    <row r="59" spans="2:13">
      <c r="B59" s="22"/>
      <c r="C59" s="22"/>
      <c r="D59" s="14" t="s">
        <v>154</v>
      </c>
      <c r="E59" s="20">
        <v>0</v>
      </c>
      <c r="F59" s="20">
        <v>0</v>
      </c>
      <c r="G59" s="20">
        <f t="shared" si="0"/>
        <v>0</v>
      </c>
      <c r="H59" s="20">
        <v>0</v>
      </c>
      <c r="I59" s="20">
        <v>5000</v>
      </c>
      <c r="J59" s="20">
        <f t="shared" si="1"/>
        <v>5000</v>
      </c>
      <c r="K59" s="20">
        <v>0</v>
      </c>
      <c r="L59" s="20">
        <v>0</v>
      </c>
      <c r="M59" s="20">
        <f t="shared" si="2"/>
        <v>0</v>
      </c>
    </row>
    <row r="60" spans="2:13">
      <c r="B60" s="22"/>
      <c r="C60" s="22"/>
      <c r="D60" s="14" t="s">
        <v>155</v>
      </c>
      <c r="E60" s="20">
        <v>0</v>
      </c>
      <c r="F60" s="20">
        <v>0</v>
      </c>
      <c r="G60" s="20">
        <f t="shared" si="0"/>
        <v>0</v>
      </c>
      <c r="H60" s="20">
        <v>21</v>
      </c>
      <c r="I60" s="20">
        <v>27548</v>
      </c>
      <c r="J60" s="20">
        <f t="shared" si="1"/>
        <v>27569</v>
      </c>
      <c r="K60" s="20">
        <v>0</v>
      </c>
      <c r="L60" s="20">
        <v>0</v>
      </c>
      <c r="M60" s="20">
        <f t="shared" si="2"/>
        <v>0</v>
      </c>
    </row>
    <row r="61" spans="2:13">
      <c r="B61" s="22"/>
      <c r="C61" s="22"/>
      <c r="D61" s="14" t="s">
        <v>119</v>
      </c>
      <c r="E61" s="20">
        <v>0</v>
      </c>
      <c r="F61" s="20">
        <v>0</v>
      </c>
      <c r="G61" s="20">
        <f t="shared" si="0"/>
        <v>0</v>
      </c>
      <c r="H61" s="20">
        <v>549</v>
      </c>
      <c r="I61" s="20">
        <v>2</v>
      </c>
      <c r="J61" s="20">
        <f t="shared" si="1"/>
        <v>551</v>
      </c>
      <c r="K61" s="20">
        <v>0</v>
      </c>
      <c r="L61" s="20">
        <v>0</v>
      </c>
      <c r="M61" s="20">
        <f t="shared" si="2"/>
        <v>0</v>
      </c>
    </row>
    <row r="62" spans="2:13">
      <c r="B62" s="22"/>
      <c r="C62" s="22"/>
      <c r="D62" s="14" t="s">
        <v>156</v>
      </c>
      <c r="E62" s="20">
        <v>0</v>
      </c>
      <c r="F62" s="20">
        <v>0</v>
      </c>
      <c r="G62" s="20">
        <f t="shared" si="0"/>
        <v>0</v>
      </c>
      <c r="H62" s="20">
        <v>0</v>
      </c>
      <c r="I62" s="20">
        <v>1000</v>
      </c>
      <c r="J62" s="20">
        <f t="shared" si="1"/>
        <v>1000</v>
      </c>
      <c r="K62" s="20">
        <v>0</v>
      </c>
      <c r="L62" s="20">
        <v>0</v>
      </c>
      <c r="M62" s="20">
        <f t="shared" si="2"/>
        <v>0</v>
      </c>
    </row>
    <row r="63" spans="2:13">
      <c r="B63" s="22"/>
      <c r="C63" s="22"/>
      <c r="D63" s="14" t="s">
        <v>157</v>
      </c>
      <c r="E63" s="20">
        <v>0</v>
      </c>
      <c r="F63" s="20">
        <v>0</v>
      </c>
      <c r="G63" s="20">
        <f t="shared" si="0"/>
        <v>0</v>
      </c>
      <c r="H63" s="20">
        <v>0</v>
      </c>
      <c r="I63" s="20">
        <v>127657</v>
      </c>
      <c r="J63" s="20">
        <f t="shared" si="1"/>
        <v>127657</v>
      </c>
      <c r="K63" s="20">
        <v>0</v>
      </c>
      <c r="L63" s="20">
        <v>0</v>
      </c>
      <c r="M63" s="20">
        <f t="shared" si="2"/>
        <v>0</v>
      </c>
    </row>
    <row r="64" spans="2:13">
      <c r="B64" s="22"/>
      <c r="C64" s="22"/>
      <c r="D64" s="14" t="s">
        <v>158</v>
      </c>
      <c r="E64" s="20">
        <v>0</v>
      </c>
      <c r="F64" s="20">
        <v>0</v>
      </c>
      <c r="G64" s="20">
        <f t="shared" si="0"/>
        <v>0</v>
      </c>
      <c r="H64" s="20">
        <v>0</v>
      </c>
      <c r="I64" s="20">
        <v>30000</v>
      </c>
      <c r="J64" s="20">
        <f t="shared" si="1"/>
        <v>30000</v>
      </c>
      <c r="K64" s="20">
        <v>0</v>
      </c>
      <c r="L64" s="20">
        <v>0</v>
      </c>
      <c r="M64" s="20">
        <f t="shared" si="2"/>
        <v>0</v>
      </c>
    </row>
    <row r="65" spans="2:13">
      <c r="B65" s="23"/>
      <c r="C65" s="23"/>
      <c r="D65" s="14" t="s">
        <v>159</v>
      </c>
      <c r="E65" s="20">
        <v>0</v>
      </c>
      <c r="F65" s="20">
        <v>0</v>
      </c>
      <c r="G65" s="20">
        <f t="shared" si="0"/>
        <v>0</v>
      </c>
      <c r="H65" s="20">
        <v>0</v>
      </c>
      <c r="I65" s="20">
        <v>0</v>
      </c>
      <c r="J65" s="20">
        <f t="shared" si="1"/>
        <v>0</v>
      </c>
      <c r="K65" s="20">
        <v>0</v>
      </c>
      <c r="L65" s="20">
        <v>1314</v>
      </c>
      <c r="M65" s="20">
        <f t="shared" si="2"/>
        <v>1314</v>
      </c>
    </row>
    <row r="66" spans="2:13">
      <c r="B66" s="21" t="s">
        <v>63</v>
      </c>
      <c r="C66" s="14" t="s">
        <v>64</v>
      </c>
      <c r="D66" s="14" t="s">
        <v>160</v>
      </c>
      <c r="E66" s="20">
        <v>41</v>
      </c>
      <c r="F66" s="20">
        <v>1</v>
      </c>
      <c r="G66" s="20">
        <f t="shared" si="0"/>
        <v>42</v>
      </c>
      <c r="H66" s="20">
        <v>0</v>
      </c>
      <c r="I66" s="20">
        <v>0</v>
      </c>
      <c r="J66" s="20">
        <f t="shared" si="1"/>
        <v>0</v>
      </c>
      <c r="K66" s="20">
        <v>0</v>
      </c>
      <c r="L66" s="20">
        <v>0</v>
      </c>
      <c r="M66" s="20">
        <f t="shared" si="2"/>
        <v>0</v>
      </c>
    </row>
    <row r="67" spans="2:13">
      <c r="B67" s="22"/>
      <c r="C67" s="21" t="s">
        <v>65</v>
      </c>
      <c r="D67" s="14" t="s">
        <v>161</v>
      </c>
      <c r="E67" s="20">
        <v>0</v>
      </c>
      <c r="F67" s="20">
        <v>0</v>
      </c>
      <c r="G67" s="20">
        <f t="shared" si="0"/>
        <v>0</v>
      </c>
      <c r="H67" s="20">
        <v>11</v>
      </c>
      <c r="I67" s="20">
        <v>0</v>
      </c>
      <c r="J67" s="20">
        <f t="shared" si="1"/>
        <v>11</v>
      </c>
      <c r="K67" s="20">
        <v>1</v>
      </c>
      <c r="L67" s="20">
        <v>0</v>
      </c>
      <c r="M67" s="20">
        <f t="shared" si="2"/>
        <v>1</v>
      </c>
    </row>
    <row r="68" spans="2:13">
      <c r="B68" s="22"/>
      <c r="C68" s="22"/>
      <c r="D68" s="14" t="s">
        <v>162</v>
      </c>
      <c r="E68" s="20">
        <v>47</v>
      </c>
      <c r="F68" s="20">
        <v>0</v>
      </c>
      <c r="G68" s="20">
        <f t="shared" si="0"/>
        <v>47</v>
      </c>
      <c r="H68" s="20">
        <v>0</v>
      </c>
      <c r="I68" s="20">
        <v>0</v>
      </c>
      <c r="J68" s="20">
        <f t="shared" si="1"/>
        <v>0</v>
      </c>
      <c r="K68" s="20">
        <v>9</v>
      </c>
      <c r="L68" s="20">
        <v>0</v>
      </c>
      <c r="M68" s="20">
        <f t="shared" si="2"/>
        <v>9</v>
      </c>
    </row>
    <row r="69" spans="2:13">
      <c r="B69" s="22"/>
      <c r="C69" s="22"/>
      <c r="D69" s="14" t="s">
        <v>163</v>
      </c>
      <c r="E69" s="20">
        <v>0</v>
      </c>
      <c r="F69" s="20">
        <v>0</v>
      </c>
      <c r="G69" s="20">
        <f t="shared" si="0"/>
        <v>0</v>
      </c>
      <c r="H69" s="20">
        <v>282226</v>
      </c>
      <c r="I69" s="20">
        <v>0</v>
      </c>
      <c r="J69" s="20">
        <f t="shared" si="1"/>
        <v>282226</v>
      </c>
      <c r="K69" s="20">
        <v>0</v>
      </c>
      <c r="L69" s="20">
        <v>0</v>
      </c>
      <c r="M69" s="20">
        <f t="shared" si="2"/>
        <v>0</v>
      </c>
    </row>
    <row r="70" spans="2:13">
      <c r="B70" s="22"/>
      <c r="C70" s="22"/>
      <c r="D70" s="14" t="s">
        <v>164</v>
      </c>
      <c r="E70" s="20">
        <v>0</v>
      </c>
      <c r="F70" s="20">
        <v>0</v>
      </c>
      <c r="G70" s="20">
        <f t="shared" ref="G70:G133" si="3">SUM(E70:F70)</f>
        <v>0</v>
      </c>
      <c r="H70" s="20">
        <v>71103</v>
      </c>
      <c r="I70" s="20">
        <v>0</v>
      </c>
      <c r="J70" s="20">
        <f t="shared" ref="J70:J133" si="4">SUM(H70:I70)</f>
        <v>71103</v>
      </c>
      <c r="K70" s="20">
        <v>0</v>
      </c>
      <c r="L70" s="20">
        <v>0</v>
      </c>
      <c r="M70" s="20">
        <f t="shared" ref="M70:M133" si="5">SUM(K70:L70)</f>
        <v>0</v>
      </c>
    </row>
    <row r="71" spans="2:13">
      <c r="B71" s="22"/>
      <c r="C71" s="22"/>
      <c r="D71" s="14" t="s">
        <v>165</v>
      </c>
      <c r="E71" s="20">
        <v>0</v>
      </c>
      <c r="F71" s="20">
        <v>0</v>
      </c>
      <c r="G71" s="20">
        <f t="shared" si="3"/>
        <v>0</v>
      </c>
      <c r="H71" s="20">
        <v>0</v>
      </c>
      <c r="I71" s="20">
        <v>0</v>
      </c>
      <c r="J71" s="20">
        <f t="shared" si="4"/>
        <v>0</v>
      </c>
      <c r="K71" s="20">
        <v>27957</v>
      </c>
      <c r="L71" s="20">
        <v>0</v>
      </c>
      <c r="M71" s="20">
        <f t="shared" si="5"/>
        <v>27957</v>
      </c>
    </row>
    <row r="72" spans="2:13">
      <c r="B72" s="22"/>
      <c r="C72" s="22"/>
      <c r="D72" s="14" t="s">
        <v>166</v>
      </c>
      <c r="E72" s="20">
        <v>4362</v>
      </c>
      <c r="F72" s="20">
        <v>0</v>
      </c>
      <c r="G72" s="20">
        <f t="shared" si="3"/>
        <v>4362</v>
      </c>
      <c r="H72" s="20">
        <v>0</v>
      </c>
      <c r="I72" s="20">
        <v>0</v>
      </c>
      <c r="J72" s="20">
        <f t="shared" si="4"/>
        <v>0</v>
      </c>
      <c r="K72" s="20">
        <v>0</v>
      </c>
      <c r="L72" s="20">
        <v>0</v>
      </c>
      <c r="M72" s="20">
        <f t="shared" si="5"/>
        <v>0</v>
      </c>
    </row>
    <row r="73" spans="2:13">
      <c r="B73" s="22"/>
      <c r="C73" s="22"/>
      <c r="D73" s="14" t="s">
        <v>167</v>
      </c>
      <c r="E73" s="20">
        <v>537</v>
      </c>
      <c r="F73" s="20">
        <v>4</v>
      </c>
      <c r="G73" s="20">
        <f t="shared" si="3"/>
        <v>541</v>
      </c>
      <c r="H73" s="20">
        <v>0</v>
      </c>
      <c r="I73" s="20">
        <v>0</v>
      </c>
      <c r="J73" s="20">
        <f t="shared" si="4"/>
        <v>0</v>
      </c>
      <c r="K73" s="20">
        <v>0</v>
      </c>
      <c r="L73" s="20">
        <v>0</v>
      </c>
      <c r="M73" s="20">
        <f t="shared" si="5"/>
        <v>0</v>
      </c>
    </row>
    <row r="74" spans="2:13">
      <c r="B74" s="22"/>
      <c r="C74" s="22"/>
      <c r="D74" s="14" t="s">
        <v>168</v>
      </c>
      <c r="E74" s="20">
        <v>22</v>
      </c>
      <c r="F74" s="20">
        <v>0</v>
      </c>
      <c r="G74" s="20">
        <f t="shared" si="3"/>
        <v>22</v>
      </c>
      <c r="H74" s="20">
        <v>0</v>
      </c>
      <c r="I74" s="20">
        <v>0</v>
      </c>
      <c r="J74" s="20">
        <f t="shared" si="4"/>
        <v>0</v>
      </c>
      <c r="K74" s="20">
        <v>0</v>
      </c>
      <c r="L74" s="20">
        <v>0</v>
      </c>
      <c r="M74" s="20">
        <f t="shared" si="5"/>
        <v>0</v>
      </c>
    </row>
    <row r="75" spans="2:13">
      <c r="B75" s="22"/>
      <c r="C75" s="22"/>
      <c r="D75" s="14" t="s">
        <v>169</v>
      </c>
      <c r="E75" s="20">
        <v>63</v>
      </c>
      <c r="F75" s="20">
        <v>0</v>
      </c>
      <c r="G75" s="20">
        <f t="shared" si="3"/>
        <v>63</v>
      </c>
      <c r="H75" s="20">
        <v>0</v>
      </c>
      <c r="I75" s="20">
        <v>0</v>
      </c>
      <c r="J75" s="20">
        <f t="shared" si="4"/>
        <v>0</v>
      </c>
      <c r="K75" s="20">
        <v>0</v>
      </c>
      <c r="L75" s="20">
        <v>0</v>
      </c>
      <c r="M75" s="20">
        <f t="shared" si="5"/>
        <v>0</v>
      </c>
    </row>
    <row r="76" spans="2:13">
      <c r="B76" s="22"/>
      <c r="C76" s="22"/>
      <c r="D76" s="14" t="s">
        <v>170</v>
      </c>
      <c r="E76" s="20">
        <v>4446</v>
      </c>
      <c r="F76" s="20">
        <v>58</v>
      </c>
      <c r="G76" s="20">
        <f t="shared" si="3"/>
        <v>4504</v>
      </c>
      <c r="H76" s="20">
        <v>0</v>
      </c>
      <c r="I76" s="20">
        <v>0</v>
      </c>
      <c r="J76" s="20">
        <f t="shared" si="4"/>
        <v>0</v>
      </c>
      <c r="K76" s="20">
        <v>0</v>
      </c>
      <c r="L76" s="20">
        <v>0</v>
      </c>
      <c r="M76" s="20">
        <f t="shared" si="5"/>
        <v>0</v>
      </c>
    </row>
    <row r="77" spans="2:13">
      <c r="B77" s="22"/>
      <c r="C77" s="22"/>
      <c r="D77" s="14" t="s">
        <v>171</v>
      </c>
      <c r="E77" s="20">
        <v>0</v>
      </c>
      <c r="F77" s="20">
        <v>0</v>
      </c>
      <c r="G77" s="20">
        <f t="shared" si="3"/>
        <v>0</v>
      </c>
      <c r="H77" s="20">
        <v>0</v>
      </c>
      <c r="I77" s="20">
        <v>0</v>
      </c>
      <c r="J77" s="20">
        <f t="shared" si="4"/>
        <v>0</v>
      </c>
      <c r="K77" s="20">
        <v>0</v>
      </c>
      <c r="L77" s="20">
        <v>2251</v>
      </c>
      <c r="M77" s="20">
        <f t="shared" si="5"/>
        <v>2251</v>
      </c>
    </row>
    <row r="78" spans="2:13">
      <c r="B78" s="22"/>
      <c r="C78" s="22"/>
      <c r="D78" s="14" t="s">
        <v>172</v>
      </c>
      <c r="E78" s="20">
        <v>0</v>
      </c>
      <c r="F78" s="20">
        <v>0</v>
      </c>
      <c r="G78" s="20">
        <f t="shared" si="3"/>
        <v>0</v>
      </c>
      <c r="H78" s="20">
        <v>0</v>
      </c>
      <c r="I78" s="20">
        <v>0</v>
      </c>
      <c r="J78" s="20">
        <f t="shared" si="4"/>
        <v>0</v>
      </c>
      <c r="K78" s="20">
        <v>2229</v>
      </c>
      <c r="L78" s="20">
        <v>0</v>
      </c>
      <c r="M78" s="20">
        <f t="shared" si="5"/>
        <v>2229</v>
      </c>
    </row>
    <row r="79" spans="2:13">
      <c r="B79" s="22"/>
      <c r="C79" s="22"/>
      <c r="D79" s="14" t="s">
        <v>173</v>
      </c>
      <c r="E79" s="20">
        <v>100</v>
      </c>
      <c r="F79" s="20">
        <v>0</v>
      </c>
      <c r="G79" s="20">
        <f t="shared" si="3"/>
        <v>100</v>
      </c>
      <c r="H79" s="20">
        <v>0</v>
      </c>
      <c r="I79" s="20">
        <v>0</v>
      </c>
      <c r="J79" s="20">
        <f t="shared" si="4"/>
        <v>0</v>
      </c>
      <c r="K79" s="20">
        <v>0</v>
      </c>
      <c r="L79" s="20">
        <v>0</v>
      </c>
      <c r="M79" s="20">
        <f t="shared" si="5"/>
        <v>0</v>
      </c>
    </row>
    <row r="80" spans="2:13">
      <c r="B80" s="22"/>
      <c r="C80" s="22"/>
      <c r="D80" s="14" t="s">
        <v>174</v>
      </c>
      <c r="E80" s="20">
        <v>0</v>
      </c>
      <c r="F80" s="20">
        <v>0</v>
      </c>
      <c r="G80" s="20">
        <f t="shared" si="3"/>
        <v>0</v>
      </c>
      <c r="H80" s="20">
        <v>0</v>
      </c>
      <c r="I80" s="20">
        <v>0</v>
      </c>
      <c r="J80" s="20">
        <f t="shared" si="4"/>
        <v>0</v>
      </c>
      <c r="K80" s="20">
        <v>8541</v>
      </c>
      <c r="L80" s="20">
        <v>0</v>
      </c>
      <c r="M80" s="20">
        <f t="shared" si="5"/>
        <v>8541</v>
      </c>
    </row>
    <row r="81" spans="2:13">
      <c r="B81" s="22"/>
      <c r="C81" s="22"/>
      <c r="D81" s="14" t="s">
        <v>175</v>
      </c>
      <c r="E81" s="20">
        <v>24</v>
      </c>
      <c r="F81" s="20">
        <v>1</v>
      </c>
      <c r="G81" s="20">
        <f t="shared" si="3"/>
        <v>25</v>
      </c>
      <c r="H81" s="20">
        <v>0</v>
      </c>
      <c r="I81" s="20">
        <v>0</v>
      </c>
      <c r="J81" s="20">
        <f t="shared" si="4"/>
        <v>0</v>
      </c>
      <c r="K81" s="20">
        <v>39</v>
      </c>
      <c r="L81" s="20">
        <v>0</v>
      </c>
      <c r="M81" s="20">
        <f t="shared" si="5"/>
        <v>39</v>
      </c>
    </row>
    <row r="82" spans="2:13">
      <c r="B82" s="22"/>
      <c r="C82" s="22"/>
      <c r="D82" s="14" t="s">
        <v>176</v>
      </c>
      <c r="E82" s="20">
        <v>1376</v>
      </c>
      <c r="F82" s="20">
        <v>1</v>
      </c>
      <c r="G82" s="20">
        <f t="shared" si="3"/>
        <v>1377</v>
      </c>
      <c r="H82" s="20">
        <v>0</v>
      </c>
      <c r="I82" s="20">
        <v>0</v>
      </c>
      <c r="J82" s="20">
        <f t="shared" si="4"/>
        <v>0</v>
      </c>
      <c r="K82" s="20">
        <v>366</v>
      </c>
      <c r="L82" s="20">
        <v>0</v>
      </c>
      <c r="M82" s="20">
        <f t="shared" si="5"/>
        <v>366</v>
      </c>
    </row>
    <row r="83" spans="2:13">
      <c r="B83" s="22"/>
      <c r="C83" s="22"/>
      <c r="D83" s="14" t="s">
        <v>177</v>
      </c>
      <c r="E83" s="20">
        <v>0</v>
      </c>
      <c r="F83" s="20">
        <v>0</v>
      </c>
      <c r="G83" s="20">
        <f t="shared" si="3"/>
        <v>0</v>
      </c>
      <c r="H83" s="20">
        <v>125</v>
      </c>
      <c r="I83" s="20">
        <v>0</v>
      </c>
      <c r="J83" s="20">
        <f t="shared" si="4"/>
        <v>125</v>
      </c>
      <c r="K83" s="20">
        <v>20</v>
      </c>
      <c r="L83" s="20">
        <v>0</v>
      </c>
      <c r="M83" s="20">
        <f t="shared" si="5"/>
        <v>20</v>
      </c>
    </row>
    <row r="84" spans="2:13">
      <c r="B84" s="22"/>
      <c r="C84" s="22"/>
      <c r="D84" s="14" t="s">
        <v>178</v>
      </c>
      <c r="E84" s="20">
        <v>0</v>
      </c>
      <c r="F84" s="20">
        <v>0</v>
      </c>
      <c r="G84" s="20">
        <f t="shared" si="3"/>
        <v>0</v>
      </c>
      <c r="H84" s="20">
        <v>620</v>
      </c>
      <c r="I84" s="20">
        <v>0</v>
      </c>
      <c r="J84" s="20">
        <f t="shared" si="4"/>
        <v>620</v>
      </c>
      <c r="K84" s="20">
        <v>0</v>
      </c>
      <c r="L84" s="20">
        <v>0</v>
      </c>
      <c r="M84" s="20">
        <f t="shared" si="5"/>
        <v>0</v>
      </c>
    </row>
    <row r="85" spans="2:13">
      <c r="B85" s="22"/>
      <c r="C85" s="22"/>
      <c r="D85" s="14" t="s">
        <v>179</v>
      </c>
      <c r="E85" s="20">
        <v>0</v>
      </c>
      <c r="F85" s="20">
        <v>0</v>
      </c>
      <c r="G85" s="20">
        <f t="shared" si="3"/>
        <v>0</v>
      </c>
      <c r="H85" s="20">
        <v>441</v>
      </c>
      <c r="I85" s="20">
        <v>0</v>
      </c>
      <c r="J85" s="20">
        <f t="shared" si="4"/>
        <v>441</v>
      </c>
      <c r="K85" s="20">
        <v>0</v>
      </c>
      <c r="L85" s="20">
        <v>0</v>
      </c>
      <c r="M85" s="20">
        <f t="shared" si="5"/>
        <v>0</v>
      </c>
    </row>
    <row r="86" spans="2:13">
      <c r="B86" s="22"/>
      <c r="C86" s="22"/>
      <c r="D86" s="14" t="s">
        <v>180</v>
      </c>
      <c r="E86" s="20">
        <v>0</v>
      </c>
      <c r="F86" s="20">
        <v>0</v>
      </c>
      <c r="G86" s="20">
        <f t="shared" si="3"/>
        <v>0</v>
      </c>
      <c r="H86" s="20">
        <v>518</v>
      </c>
      <c r="I86" s="20">
        <v>6</v>
      </c>
      <c r="J86" s="20">
        <f t="shared" si="4"/>
        <v>524</v>
      </c>
      <c r="K86" s="20">
        <v>0</v>
      </c>
      <c r="L86" s="20">
        <v>0</v>
      </c>
      <c r="M86" s="20">
        <f t="shared" si="5"/>
        <v>0</v>
      </c>
    </row>
    <row r="87" spans="2:13">
      <c r="B87" s="22"/>
      <c r="C87" s="22"/>
      <c r="D87" s="14" t="s">
        <v>181</v>
      </c>
      <c r="E87" s="20">
        <v>0</v>
      </c>
      <c r="F87" s="20">
        <v>0</v>
      </c>
      <c r="G87" s="20">
        <f t="shared" si="3"/>
        <v>0</v>
      </c>
      <c r="H87" s="20">
        <v>3829</v>
      </c>
      <c r="I87" s="20">
        <v>250573</v>
      </c>
      <c r="J87" s="20">
        <f t="shared" si="4"/>
        <v>254402</v>
      </c>
      <c r="K87" s="20">
        <v>0</v>
      </c>
      <c r="L87" s="20">
        <v>0</v>
      </c>
      <c r="M87" s="20">
        <f t="shared" si="5"/>
        <v>0</v>
      </c>
    </row>
    <row r="88" spans="2:13">
      <c r="B88" s="22"/>
      <c r="C88" s="22"/>
      <c r="D88" s="14" t="s">
        <v>182</v>
      </c>
      <c r="E88" s="20">
        <v>0</v>
      </c>
      <c r="F88" s="20">
        <v>0</v>
      </c>
      <c r="G88" s="20">
        <f t="shared" si="3"/>
        <v>0</v>
      </c>
      <c r="H88" s="20">
        <v>4</v>
      </c>
      <c r="I88" s="20">
        <v>24996</v>
      </c>
      <c r="J88" s="20">
        <f t="shared" si="4"/>
        <v>25000</v>
      </c>
      <c r="K88" s="20">
        <v>0</v>
      </c>
      <c r="L88" s="20">
        <v>0</v>
      </c>
      <c r="M88" s="20">
        <f t="shared" si="5"/>
        <v>0</v>
      </c>
    </row>
    <row r="89" spans="2:13">
      <c r="B89" s="22"/>
      <c r="C89" s="22"/>
      <c r="D89" s="14" t="s">
        <v>183</v>
      </c>
      <c r="E89" s="20">
        <v>0</v>
      </c>
      <c r="F89" s="20">
        <v>0</v>
      </c>
      <c r="G89" s="20">
        <f t="shared" si="3"/>
        <v>0</v>
      </c>
      <c r="H89" s="20">
        <v>9778</v>
      </c>
      <c r="I89" s="20">
        <v>0</v>
      </c>
      <c r="J89" s="20">
        <f t="shared" si="4"/>
        <v>9778</v>
      </c>
      <c r="K89" s="20">
        <v>854</v>
      </c>
      <c r="L89" s="20">
        <v>0</v>
      </c>
      <c r="M89" s="20">
        <f t="shared" si="5"/>
        <v>854</v>
      </c>
    </row>
    <row r="90" spans="2:13">
      <c r="B90" s="22"/>
      <c r="C90" s="22"/>
      <c r="D90" s="14" t="s">
        <v>184</v>
      </c>
      <c r="E90" s="20">
        <v>0</v>
      </c>
      <c r="F90" s="20">
        <v>0</v>
      </c>
      <c r="G90" s="20">
        <f t="shared" si="3"/>
        <v>0</v>
      </c>
      <c r="H90" s="20">
        <v>0</v>
      </c>
      <c r="I90" s="20">
        <v>1649</v>
      </c>
      <c r="J90" s="20">
        <f t="shared" si="4"/>
        <v>1649</v>
      </c>
      <c r="K90" s="20">
        <v>0</v>
      </c>
      <c r="L90" s="20">
        <v>0</v>
      </c>
      <c r="M90" s="20">
        <f t="shared" si="5"/>
        <v>0</v>
      </c>
    </row>
    <row r="91" spans="2:13">
      <c r="B91" s="22"/>
      <c r="C91" s="22"/>
      <c r="D91" s="14" t="s">
        <v>185</v>
      </c>
      <c r="E91" s="20">
        <v>0</v>
      </c>
      <c r="F91" s="20">
        <v>0</v>
      </c>
      <c r="G91" s="20">
        <f t="shared" si="3"/>
        <v>0</v>
      </c>
      <c r="H91" s="20">
        <v>17909</v>
      </c>
      <c r="I91" s="20">
        <v>139</v>
      </c>
      <c r="J91" s="20">
        <f t="shared" si="4"/>
        <v>18048</v>
      </c>
      <c r="K91" s="20">
        <v>0</v>
      </c>
      <c r="L91" s="20">
        <v>0</v>
      </c>
      <c r="M91" s="20">
        <f t="shared" si="5"/>
        <v>0</v>
      </c>
    </row>
    <row r="92" spans="2:13">
      <c r="B92" s="22"/>
      <c r="C92" s="22"/>
      <c r="D92" s="14" t="s">
        <v>186</v>
      </c>
      <c r="E92" s="20">
        <v>0</v>
      </c>
      <c r="F92" s="20">
        <v>0</v>
      </c>
      <c r="G92" s="20">
        <f t="shared" si="3"/>
        <v>0</v>
      </c>
      <c r="H92" s="20">
        <v>48</v>
      </c>
      <c r="I92" s="20">
        <v>0</v>
      </c>
      <c r="J92" s="20">
        <f t="shared" si="4"/>
        <v>48</v>
      </c>
      <c r="K92" s="20">
        <v>20</v>
      </c>
      <c r="L92" s="20">
        <v>0</v>
      </c>
      <c r="M92" s="20">
        <f t="shared" si="5"/>
        <v>20</v>
      </c>
    </row>
    <row r="93" spans="2:13">
      <c r="B93" s="22"/>
      <c r="C93" s="22"/>
      <c r="D93" s="14" t="s">
        <v>187</v>
      </c>
      <c r="E93" s="20">
        <v>0</v>
      </c>
      <c r="F93" s="20">
        <v>0</v>
      </c>
      <c r="G93" s="20">
        <f t="shared" si="3"/>
        <v>0</v>
      </c>
      <c r="H93" s="20">
        <v>0</v>
      </c>
      <c r="I93" s="20">
        <v>0</v>
      </c>
      <c r="J93" s="20">
        <f t="shared" si="4"/>
        <v>0</v>
      </c>
      <c r="K93" s="20">
        <v>594</v>
      </c>
      <c r="L93" s="20">
        <v>0</v>
      </c>
      <c r="M93" s="20">
        <f t="shared" si="5"/>
        <v>594</v>
      </c>
    </row>
    <row r="94" spans="2:13">
      <c r="B94" s="22"/>
      <c r="C94" s="22"/>
      <c r="D94" s="14" t="s">
        <v>188</v>
      </c>
      <c r="E94" s="20">
        <v>0</v>
      </c>
      <c r="F94" s="20">
        <v>0</v>
      </c>
      <c r="G94" s="20">
        <f t="shared" si="3"/>
        <v>0</v>
      </c>
      <c r="H94" s="20">
        <v>7854</v>
      </c>
      <c r="I94" s="20">
        <v>0</v>
      </c>
      <c r="J94" s="20">
        <f t="shared" si="4"/>
        <v>7854</v>
      </c>
      <c r="K94" s="20">
        <v>0</v>
      </c>
      <c r="L94" s="20">
        <v>0</v>
      </c>
      <c r="M94" s="20">
        <f t="shared" si="5"/>
        <v>0</v>
      </c>
    </row>
    <row r="95" spans="2:13">
      <c r="B95" s="22"/>
      <c r="C95" s="22"/>
      <c r="D95" s="14" t="s">
        <v>189</v>
      </c>
      <c r="E95" s="20">
        <v>0</v>
      </c>
      <c r="F95" s="20">
        <v>0</v>
      </c>
      <c r="G95" s="20">
        <f t="shared" si="3"/>
        <v>0</v>
      </c>
      <c r="H95" s="20">
        <v>22685</v>
      </c>
      <c r="I95" s="20">
        <v>0</v>
      </c>
      <c r="J95" s="20">
        <f t="shared" si="4"/>
        <v>22685</v>
      </c>
      <c r="K95" s="20">
        <v>0</v>
      </c>
      <c r="L95" s="20">
        <v>0</v>
      </c>
      <c r="M95" s="20">
        <f t="shared" si="5"/>
        <v>0</v>
      </c>
    </row>
    <row r="96" spans="2:13">
      <c r="B96" s="22"/>
      <c r="C96" s="22"/>
      <c r="D96" s="14" t="s">
        <v>190</v>
      </c>
      <c r="E96" s="20">
        <v>0</v>
      </c>
      <c r="F96" s="20">
        <v>0</v>
      </c>
      <c r="G96" s="20">
        <f t="shared" si="3"/>
        <v>0</v>
      </c>
      <c r="H96" s="20">
        <v>1989</v>
      </c>
      <c r="I96" s="20">
        <v>0</v>
      </c>
      <c r="J96" s="20">
        <f t="shared" si="4"/>
        <v>1989</v>
      </c>
      <c r="K96" s="20">
        <v>0</v>
      </c>
      <c r="L96" s="20">
        <v>0</v>
      </c>
      <c r="M96" s="20">
        <f t="shared" si="5"/>
        <v>0</v>
      </c>
    </row>
    <row r="97" spans="2:13">
      <c r="B97" s="22"/>
      <c r="C97" s="22"/>
      <c r="D97" s="14" t="s">
        <v>191</v>
      </c>
      <c r="E97" s="20">
        <v>0</v>
      </c>
      <c r="F97" s="20">
        <v>0</v>
      </c>
      <c r="G97" s="20">
        <f t="shared" si="3"/>
        <v>0</v>
      </c>
      <c r="H97" s="20">
        <v>1046</v>
      </c>
      <c r="I97" s="20">
        <v>0</v>
      </c>
      <c r="J97" s="20">
        <f t="shared" si="4"/>
        <v>1046</v>
      </c>
      <c r="K97" s="20">
        <v>0</v>
      </c>
      <c r="L97" s="20">
        <v>0</v>
      </c>
      <c r="M97" s="20">
        <f t="shared" si="5"/>
        <v>0</v>
      </c>
    </row>
    <row r="98" spans="2:13">
      <c r="B98" s="22"/>
      <c r="C98" s="22"/>
      <c r="D98" s="14" t="s">
        <v>119</v>
      </c>
      <c r="E98" s="20">
        <v>0</v>
      </c>
      <c r="F98" s="20">
        <v>0</v>
      </c>
      <c r="G98" s="20">
        <f t="shared" si="3"/>
        <v>0</v>
      </c>
      <c r="H98" s="20">
        <v>25424</v>
      </c>
      <c r="I98" s="20">
        <v>169</v>
      </c>
      <c r="J98" s="20">
        <f t="shared" si="4"/>
        <v>25593</v>
      </c>
      <c r="K98" s="20">
        <v>0</v>
      </c>
      <c r="L98" s="20">
        <v>0</v>
      </c>
      <c r="M98" s="20">
        <f t="shared" si="5"/>
        <v>0</v>
      </c>
    </row>
    <row r="99" spans="2:13">
      <c r="B99" s="22"/>
      <c r="C99" s="22"/>
      <c r="D99" s="14" t="s">
        <v>192</v>
      </c>
      <c r="E99" s="20">
        <v>0</v>
      </c>
      <c r="F99" s="20">
        <v>0</v>
      </c>
      <c r="G99" s="20">
        <f t="shared" si="3"/>
        <v>0</v>
      </c>
      <c r="H99" s="20">
        <v>0</v>
      </c>
      <c r="I99" s="20">
        <v>0</v>
      </c>
      <c r="J99" s="20">
        <f t="shared" si="4"/>
        <v>0</v>
      </c>
      <c r="K99" s="20">
        <v>7691</v>
      </c>
      <c r="L99" s="20">
        <v>0</v>
      </c>
      <c r="M99" s="20">
        <f t="shared" si="5"/>
        <v>7691</v>
      </c>
    </row>
    <row r="100" spans="2:13">
      <c r="B100" s="22"/>
      <c r="C100" s="22"/>
      <c r="D100" s="14" t="s">
        <v>193</v>
      </c>
      <c r="E100" s="20">
        <v>0</v>
      </c>
      <c r="F100" s="20">
        <v>0</v>
      </c>
      <c r="G100" s="20">
        <f t="shared" si="3"/>
        <v>0</v>
      </c>
      <c r="H100" s="20">
        <v>0</v>
      </c>
      <c r="I100" s="20">
        <v>4791</v>
      </c>
      <c r="J100" s="20">
        <f t="shared" si="4"/>
        <v>4791</v>
      </c>
      <c r="K100" s="20">
        <v>0</v>
      </c>
      <c r="L100" s="20">
        <v>0</v>
      </c>
      <c r="M100" s="20">
        <f t="shared" si="5"/>
        <v>0</v>
      </c>
    </row>
    <row r="101" spans="2:13">
      <c r="B101" s="22"/>
      <c r="C101" s="22"/>
      <c r="D101" s="14" t="s">
        <v>194</v>
      </c>
      <c r="E101" s="20">
        <v>0</v>
      </c>
      <c r="F101" s="20">
        <v>0</v>
      </c>
      <c r="G101" s="20">
        <f t="shared" si="3"/>
        <v>0</v>
      </c>
      <c r="H101" s="20">
        <v>0</v>
      </c>
      <c r="I101" s="20">
        <v>1402</v>
      </c>
      <c r="J101" s="20">
        <f t="shared" si="4"/>
        <v>1402</v>
      </c>
      <c r="K101" s="20">
        <v>0</v>
      </c>
      <c r="L101" s="20">
        <v>0</v>
      </c>
      <c r="M101" s="20">
        <f t="shared" si="5"/>
        <v>0</v>
      </c>
    </row>
    <row r="102" spans="2:13">
      <c r="B102" s="22"/>
      <c r="C102" s="22"/>
      <c r="D102" s="14" t="s">
        <v>195</v>
      </c>
      <c r="E102" s="20">
        <v>0</v>
      </c>
      <c r="F102" s="20">
        <v>0</v>
      </c>
      <c r="G102" s="20">
        <f t="shared" si="3"/>
        <v>0</v>
      </c>
      <c r="H102" s="20">
        <v>920</v>
      </c>
      <c r="I102" s="20">
        <v>0</v>
      </c>
      <c r="J102" s="20">
        <f t="shared" si="4"/>
        <v>920</v>
      </c>
      <c r="K102" s="20">
        <v>0</v>
      </c>
      <c r="L102" s="20">
        <v>0</v>
      </c>
      <c r="M102" s="20">
        <f t="shared" si="5"/>
        <v>0</v>
      </c>
    </row>
    <row r="103" spans="2:13">
      <c r="B103" s="22"/>
      <c r="C103" s="22"/>
      <c r="D103" s="14" t="s">
        <v>196</v>
      </c>
      <c r="E103" s="20">
        <v>0</v>
      </c>
      <c r="F103" s="20">
        <v>0</v>
      </c>
      <c r="G103" s="20">
        <f t="shared" si="3"/>
        <v>0</v>
      </c>
      <c r="H103" s="20">
        <v>0</v>
      </c>
      <c r="I103" s="20">
        <v>6339</v>
      </c>
      <c r="J103" s="20">
        <f t="shared" si="4"/>
        <v>6339</v>
      </c>
      <c r="K103" s="20">
        <v>0</v>
      </c>
      <c r="L103" s="20">
        <v>812</v>
      </c>
      <c r="M103" s="20">
        <f t="shared" si="5"/>
        <v>812</v>
      </c>
    </row>
    <row r="104" spans="2:13">
      <c r="B104" s="22"/>
      <c r="C104" s="22"/>
      <c r="D104" s="14" t="s">
        <v>197</v>
      </c>
      <c r="E104" s="20">
        <v>0</v>
      </c>
      <c r="F104" s="20">
        <v>0</v>
      </c>
      <c r="G104" s="20">
        <f t="shared" si="3"/>
        <v>0</v>
      </c>
      <c r="H104" s="20">
        <v>0</v>
      </c>
      <c r="I104" s="20">
        <v>90</v>
      </c>
      <c r="J104" s="20">
        <f t="shared" si="4"/>
        <v>90</v>
      </c>
      <c r="K104" s="20">
        <v>0</v>
      </c>
      <c r="L104" s="20">
        <v>0</v>
      </c>
      <c r="M104" s="20">
        <f t="shared" si="5"/>
        <v>0</v>
      </c>
    </row>
    <row r="105" spans="2:13">
      <c r="B105" s="22"/>
      <c r="C105" s="22"/>
      <c r="D105" s="14" t="s">
        <v>198</v>
      </c>
      <c r="E105" s="20">
        <v>0</v>
      </c>
      <c r="F105" s="20">
        <v>0</v>
      </c>
      <c r="G105" s="20">
        <f t="shared" si="3"/>
        <v>0</v>
      </c>
      <c r="H105" s="20">
        <v>5</v>
      </c>
      <c r="I105" s="20">
        <v>86098</v>
      </c>
      <c r="J105" s="20">
        <f t="shared" si="4"/>
        <v>86103</v>
      </c>
      <c r="K105" s="20">
        <v>0</v>
      </c>
      <c r="L105" s="20">
        <v>0</v>
      </c>
      <c r="M105" s="20">
        <f t="shared" si="5"/>
        <v>0</v>
      </c>
    </row>
    <row r="106" spans="2:13">
      <c r="B106" s="22"/>
      <c r="C106" s="22"/>
      <c r="D106" s="14" t="s">
        <v>199</v>
      </c>
      <c r="E106" s="20">
        <v>0</v>
      </c>
      <c r="F106" s="20">
        <v>0</v>
      </c>
      <c r="G106" s="20">
        <f t="shared" si="3"/>
        <v>0</v>
      </c>
      <c r="H106" s="20">
        <v>2138</v>
      </c>
      <c r="I106" s="20">
        <v>1</v>
      </c>
      <c r="J106" s="20">
        <f t="shared" si="4"/>
        <v>2139</v>
      </c>
      <c r="K106" s="20">
        <v>0</v>
      </c>
      <c r="L106" s="20">
        <v>0</v>
      </c>
      <c r="M106" s="20">
        <f t="shared" si="5"/>
        <v>0</v>
      </c>
    </row>
    <row r="107" spans="2:13">
      <c r="B107" s="22"/>
      <c r="C107" s="22"/>
      <c r="D107" s="14" t="s">
        <v>200</v>
      </c>
      <c r="E107" s="20">
        <v>0</v>
      </c>
      <c r="F107" s="20">
        <v>0</v>
      </c>
      <c r="G107" s="20">
        <f t="shared" si="3"/>
        <v>0</v>
      </c>
      <c r="H107" s="20">
        <v>3752</v>
      </c>
      <c r="I107" s="20">
        <v>0</v>
      </c>
      <c r="J107" s="20">
        <f t="shared" si="4"/>
        <v>3752</v>
      </c>
      <c r="K107" s="20">
        <v>1152</v>
      </c>
      <c r="L107" s="20">
        <v>0</v>
      </c>
      <c r="M107" s="20">
        <f t="shared" si="5"/>
        <v>1152</v>
      </c>
    </row>
    <row r="108" spans="2:13">
      <c r="B108" s="22"/>
      <c r="C108" s="22"/>
      <c r="D108" s="14" t="s">
        <v>201</v>
      </c>
      <c r="E108" s="20">
        <v>0</v>
      </c>
      <c r="F108" s="20">
        <v>0</v>
      </c>
      <c r="G108" s="20">
        <f t="shared" si="3"/>
        <v>0</v>
      </c>
      <c r="H108" s="20">
        <v>0</v>
      </c>
      <c r="I108" s="20">
        <v>0</v>
      </c>
      <c r="J108" s="20">
        <f t="shared" si="4"/>
        <v>0</v>
      </c>
      <c r="K108" s="20">
        <v>361</v>
      </c>
      <c r="L108" s="20">
        <v>0</v>
      </c>
      <c r="M108" s="20">
        <f t="shared" si="5"/>
        <v>361</v>
      </c>
    </row>
    <row r="109" spans="2:13">
      <c r="B109" s="22"/>
      <c r="C109" s="22"/>
      <c r="D109" s="14" t="s">
        <v>202</v>
      </c>
      <c r="E109" s="20">
        <v>11</v>
      </c>
      <c r="F109" s="20">
        <v>89</v>
      </c>
      <c r="G109" s="20">
        <f t="shared" si="3"/>
        <v>100</v>
      </c>
      <c r="H109" s="20">
        <v>0</v>
      </c>
      <c r="I109" s="20">
        <v>0</v>
      </c>
      <c r="J109" s="20">
        <f t="shared" si="4"/>
        <v>0</v>
      </c>
      <c r="K109" s="20">
        <v>0</v>
      </c>
      <c r="L109" s="20">
        <v>0</v>
      </c>
      <c r="M109" s="20">
        <f t="shared" si="5"/>
        <v>0</v>
      </c>
    </row>
    <row r="110" spans="2:13">
      <c r="B110" s="22"/>
      <c r="C110" s="22"/>
      <c r="D110" s="14" t="s">
        <v>203</v>
      </c>
      <c r="E110" s="20">
        <v>0</v>
      </c>
      <c r="F110" s="20">
        <v>0</v>
      </c>
      <c r="G110" s="20">
        <f t="shared" si="3"/>
        <v>0</v>
      </c>
      <c r="H110" s="20">
        <v>0</v>
      </c>
      <c r="I110" s="20">
        <v>0</v>
      </c>
      <c r="J110" s="20">
        <f t="shared" si="4"/>
        <v>0</v>
      </c>
      <c r="K110" s="20">
        <v>10713</v>
      </c>
      <c r="L110" s="20">
        <v>0</v>
      </c>
      <c r="M110" s="20">
        <f t="shared" si="5"/>
        <v>10713</v>
      </c>
    </row>
    <row r="111" spans="2:13">
      <c r="B111" s="22"/>
      <c r="C111" s="22"/>
      <c r="D111" s="14" t="s">
        <v>204</v>
      </c>
      <c r="E111" s="20">
        <v>0</v>
      </c>
      <c r="F111" s="20">
        <v>0</v>
      </c>
      <c r="G111" s="20">
        <f t="shared" si="3"/>
        <v>0</v>
      </c>
      <c r="H111" s="20">
        <v>0</v>
      </c>
      <c r="I111" s="20">
        <v>0</v>
      </c>
      <c r="J111" s="20">
        <f t="shared" si="4"/>
        <v>0</v>
      </c>
      <c r="K111" s="20">
        <v>0</v>
      </c>
      <c r="L111" s="20">
        <v>4326</v>
      </c>
      <c r="M111" s="20">
        <f t="shared" si="5"/>
        <v>4326</v>
      </c>
    </row>
    <row r="112" spans="2:13">
      <c r="B112" s="22"/>
      <c r="C112" s="22"/>
      <c r="D112" s="14" t="s">
        <v>205</v>
      </c>
      <c r="E112" s="20">
        <v>0</v>
      </c>
      <c r="F112" s="20">
        <v>0</v>
      </c>
      <c r="G112" s="20">
        <f t="shared" si="3"/>
        <v>0</v>
      </c>
      <c r="H112" s="20">
        <v>26197</v>
      </c>
      <c r="I112" s="20">
        <v>37</v>
      </c>
      <c r="J112" s="20">
        <f t="shared" si="4"/>
        <v>26234</v>
      </c>
      <c r="K112" s="20">
        <v>0</v>
      </c>
      <c r="L112" s="20">
        <v>0</v>
      </c>
      <c r="M112" s="20">
        <f t="shared" si="5"/>
        <v>0</v>
      </c>
    </row>
    <row r="113" spans="2:13">
      <c r="B113" s="22"/>
      <c r="C113" s="22"/>
      <c r="D113" s="14" t="s">
        <v>206</v>
      </c>
      <c r="E113" s="20">
        <v>0</v>
      </c>
      <c r="F113" s="20">
        <v>0</v>
      </c>
      <c r="G113" s="20">
        <f t="shared" si="3"/>
        <v>0</v>
      </c>
      <c r="H113" s="20">
        <v>0</v>
      </c>
      <c r="I113" s="20">
        <v>7656</v>
      </c>
      <c r="J113" s="20">
        <f t="shared" si="4"/>
        <v>7656</v>
      </c>
      <c r="K113" s="20">
        <v>0</v>
      </c>
      <c r="L113" s="20">
        <v>0</v>
      </c>
      <c r="M113" s="20">
        <f t="shared" si="5"/>
        <v>0</v>
      </c>
    </row>
    <row r="114" spans="2:13">
      <c r="B114" s="22"/>
      <c r="C114" s="22"/>
      <c r="D114" s="14" t="s">
        <v>207</v>
      </c>
      <c r="E114" s="20">
        <v>0</v>
      </c>
      <c r="F114" s="20">
        <v>0</v>
      </c>
      <c r="G114" s="20">
        <f t="shared" si="3"/>
        <v>0</v>
      </c>
      <c r="H114" s="20">
        <v>0</v>
      </c>
      <c r="I114" s="20">
        <v>57</v>
      </c>
      <c r="J114" s="20">
        <f t="shared" si="4"/>
        <v>57</v>
      </c>
      <c r="K114" s="20">
        <v>0</v>
      </c>
      <c r="L114" s="20">
        <v>0</v>
      </c>
      <c r="M114" s="20">
        <f t="shared" si="5"/>
        <v>0</v>
      </c>
    </row>
    <row r="115" spans="2:13">
      <c r="B115" s="22"/>
      <c r="C115" s="22"/>
      <c r="D115" s="14" t="s">
        <v>208</v>
      </c>
      <c r="E115" s="20">
        <v>0</v>
      </c>
      <c r="F115" s="20">
        <v>0</v>
      </c>
      <c r="G115" s="20">
        <f t="shared" si="3"/>
        <v>0</v>
      </c>
      <c r="H115" s="20">
        <v>0</v>
      </c>
      <c r="I115" s="20">
        <v>0</v>
      </c>
      <c r="J115" s="20">
        <f t="shared" si="4"/>
        <v>0</v>
      </c>
      <c r="K115" s="20">
        <v>2904</v>
      </c>
      <c r="L115" s="20">
        <v>0</v>
      </c>
      <c r="M115" s="20">
        <f t="shared" si="5"/>
        <v>2904</v>
      </c>
    </row>
    <row r="116" spans="2:13">
      <c r="B116" s="22"/>
      <c r="C116" s="23"/>
      <c r="D116" s="14" t="s">
        <v>209</v>
      </c>
      <c r="E116" s="20">
        <v>0</v>
      </c>
      <c r="F116" s="20">
        <v>0</v>
      </c>
      <c r="G116" s="20">
        <f t="shared" si="3"/>
        <v>0</v>
      </c>
      <c r="H116" s="20">
        <v>0</v>
      </c>
      <c r="I116" s="20">
        <v>0</v>
      </c>
      <c r="J116" s="20">
        <f t="shared" si="4"/>
        <v>0</v>
      </c>
      <c r="K116" s="20">
        <v>0</v>
      </c>
      <c r="L116" s="20">
        <v>2270</v>
      </c>
      <c r="M116" s="20">
        <f t="shared" si="5"/>
        <v>2270</v>
      </c>
    </row>
    <row r="117" spans="2:13">
      <c r="B117" s="22"/>
      <c r="C117" s="21" t="s">
        <v>66</v>
      </c>
      <c r="D117" s="14" t="s">
        <v>167</v>
      </c>
      <c r="E117" s="20">
        <v>30</v>
      </c>
      <c r="F117" s="20">
        <v>0</v>
      </c>
      <c r="G117" s="20">
        <f t="shared" si="3"/>
        <v>30</v>
      </c>
      <c r="H117" s="20">
        <v>0</v>
      </c>
      <c r="I117" s="20">
        <v>0</v>
      </c>
      <c r="J117" s="20">
        <f t="shared" si="4"/>
        <v>0</v>
      </c>
      <c r="K117" s="20">
        <v>0</v>
      </c>
      <c r="L117" s="20">
        <v>0</v>
      </c>
      <c r="M117" s="20">
        <f t="shared" si="5"/>
        <v>0</v>
      </c>
    </row>
    <row r="118" spans="2:13">
      <c r="B118" s="22"/>
      <c r="C118" s="22"/>
      <c r="D118" s="14" t="s">
        <v>170</v>
      </c>
      <c r="E118" s="20">
        <v>252</v>
      </c>
      <c r="F118" s="20">
        <v>0</v>
      </c>
      <c r="G118" s="20">
        <f t="shared" si="3"/>
        <v>252</v>
      </c>
      <c r="H118" s="20">
        <v>0</v>
      </c>
      <c r="I118" s="20">
        <v>0</v>
      </c>
      <c r="J118" s="20">
        <f t="shared" si="4"/>
        <v>0</v>
      </c>
      <c r="K118" s="20">
        <v>0</v>
      </c>
      <c r="L118" s="20">
        <v>0</v>
      </c>
      <c r="M118" s="20">
        <f t="shared" si="5"/>
        <v>0</v>
      </c>
    </row>
    <row r="119" spans="2:13">
      <c r="B119" s="22"/>
      <c r="C119" s="22"/>
      <c r="D119" s="14" t="s">
        <v>210</v>
      </c>
      <c r="E119" s="20">
        <v>0</v>
      </c>
      <c r="F119" s="20">
        <v>0</v>
      </c>
      <c r="G119" s="20">
        <f t="shared" si="3"/>
        <v>0</v>
      </c>
      <c r="H119" s="20">
        <v>9936</v>
      </c>
      <c r="I119" s="20">
        <v>0</v>
      </c>
      <c r="J119" s="20">
        <f t="shared" si="4"/>
        <v>9936</v>
      </c>
      <c r="K119" s="20">
        <v>64</v>
      </c>
      <c r="L119" s="20">
        <v>0</v>
      </c>
      <c r="M119" s="20">
        <f t="shared" si="5"/>
        <v>64</v>
      </c>
    </row>
    <row r="120" spans="2:13">
      <c r="B120" s="22"/>
      <c r="C120" s="22"/>
      <c r="D120" s="14" t="s">
        <v>211</v>
      </c>
      <c r="E120" s="20">
        <v>0</v>
      </c>
      <c r="F120" s="20">
        <v>0</v>
      </c>
      <c r="G120" s="20">
        <f t="shared" si="3"/>
        <v>0</v>
      </c>
      <c r="H120" s="20">
        <v>0</v>
      </c>
      <c r="I120" s="20">
        <v>964</v>
      </c>
      <c r="J120" s="20">
        <f t="shared" si="4"/>
        <v>964</v>
      </c>
      <c r="K120" s="20">
        <v>0</v>
      </c>
      <c r="L120" s="20">
        <v>310</v>
      </c>
      <c r="M120" s="20">
        <f t="shared" si="5"/>
        <v>310</v>
      </c>
    </row>
    <row r="121" spans="2:13">
      <c r="B121" s="22"/>
      <c r="C121" s="22"/>
      <c r="D121" s="14" t="s">
        <v>198</v>
      </c>
      <c r="E121" s="20">
        <v>0</v>
      </c>
      <c r="F121" s="20">
        <v>0</v>
      </c>
      <c r="G121" s="20">
        <f t="shared" si="3"/>
        <v>0</v>
      </c>
      <c r="H121" s="20">
        <v>0</v>
      </c>
      <c r="I121" s="20">
        <v>5753</v>
      </c>
      <c r="J121" s="20">
        <f t="shared" si="4"/>
        <v>5753</v>
      </c>
      <c r="K121" s="20">
        <v>0</v>
      </c>
      <c r="L121" s="20">
        <v>0</v>
      </c>
      <c r="M121" s="20">
        <f t="shared" si="5"/>
        <v>0</v>
      </c>
    </row>
    <row r="122" spans="2:13">
      <c r="B122" s="22"/>
      <c r="C122" s="22"/>
      <c r="D122" s="14" t="s">
        <v>212</v>
      </c>
      <c r="E122" s="20">
        <v>0</v>
      </c>
      <c r="F122" s="20">
        <v>0</v>
      </c>
      <c r="G122" s="20">
        <f t="shared" si="3"/>
        <v>0</v>
      </c>
      <c r="H122" s="20">
        <v>0</v>
      </c>
      <c r="I122" s="20">
        <v>4999</v>
      </c>
      <c r="J122" s="20">
        <f t="shared" si="4"/>
        <v>4999</v>
      </c>
      <c r="K122" s="20">
        <v>0</v>
      </c>
      <c r="L122" s="20">
        <v>0</v>
      </c>
      <c r="M122" s="20">
        <f t="shared" si="5"/>
        <v>0</v>
      </c>
    </row>
    <row r="123" spans="2:13">
      <c r="B123" s="22"/>
      <c r="C123" s="23"/>
      <c r="D123" s="14" t="s">
        <v>213</v>
      </c>
      <c r="E123" s="20">
        <v>0</v>
      </c>
      <c r="F123" s="20">
        <v>0</v>
      </c>
      <c r="G123" s="20">
        <f t="shared" si="3"/>
        <v>0</v>
      </c>
      <c r="H123" s="20">
        <v>0</v>
      </c>
      <c r="I123" s="20">
        <v>9417</v>
      </c>
      <c r="J123" s="20">
        <f t="shared" si="4"/>
        <v>9417</v>
      </c>
      <c r="K123" s="20">
        <v>0</v>
      </c>
      <c r="L123" s="20">
        <v>0</v>
      </c>
      <c r="M123" s="20">
        <f t="shared" si="5"/>
        <v>0</v>
      </c>
    </row>
    <row r="124" spans="2:13">
      <c r="B124" s="22"/>
      <c r="C124" s="14" t="s">
        <v>67</v>
      </c>
      <c r="D124" s="14" t="s">
        <v>177</v>
      </c>
      <c r="E124" s="20">
        <v>0</v>
      </c>
      <c r="F124" s="20">
        <v>0</v>
      </c>
      <c r="G124" s="20">
        <f t="shared" si="3"/>
        <v>0</v>
      </c>
      <c r="H124" s="20">
        <v>4</v>
      </c>
      <c r="I124" s="20">
        <v>0</v>
      </c>
      <c r="J124" s="20">
        <f t="shared" si="4"/>
        <v>4</v>
      </c>
      <c r="K124" s="20">
        <v>0</v>
      </c>
      <c r="L124" s="20">
        <v>0</v>
      </c>
      <c r="M124" s="20">
        <f t="shared" si="5"/>
        <v>0</v>
      </c>
    </row>
    <row r="125" spans="2:13">
      <c r="B125" s="22"/>
      <c r="C125" s="21" t="s">
        <v>68</v>
      </c>
      <c r="D125" s="14" t="s">
        <v>214</v>
      </c>
      <c r="E125" s="20">
        <v>13</v>
      </c>
      <c r="F125" s="20">
        <v>0</v>
      </c>
      <c r="G125" s="20">
        <f t="shared" si="3"/>
        <v>13</v>
      </c>
      <c r="H125" s="20">
        <v>0</v>
      </c>
      <c r="I125" s="20">
        <v>0</v>
      </c>
      <c r="J125" s="20">
        <f t="shared" si="4"/>
        <v>0</v>
      </c>
      <c r="K125" s="20">
        <v>478</v>
      </c>
      <c r="L125" s="20">
        <v>0</v>
      </c>
      <c r="M125" s="20">
        <f t="shared" si="5"/>
        <v>478</v>
      </c>
    </row>
    <row r="126" spans="2:13">
      <c r="B126" s="22"/>
      <c r="C126" s="22"/>
      <c r="D126" s="14" t="s">
        <v>167</v>
      </c>
      <c r="E126" s="20">
        <v>4</v>
      </c>
      <c r="F126" s="20">
        <v>0</v>
      </c>
      <c r="G126" s="20">
        <f t="shared" si="3"/>
        <v>4</v>
      </c>
      <c r="H126" s="20">
        <v>0</v>
      </c>
      <c r="I126" s="20">
        <v>0</v>
      </c>
      <c r="J126" s="20">
        <f t="shared" si="4"/>
        <v>0</v>
      </c>
      <c r="K126" s="20">
        <v>0</v>
      </c>
      <c r="L126" s="20">
        <v>0</v>
      </c>
      <c r="M126" s="20">
        <f t="shared" si="5"/>
        <v>0</v>
      </c>
    </row>
    <row r="127" spans="2:13">
      <c r="B127" s="22"/>
      <c r="C127" s="22"/>
      <c r="D127" s="14" t="s">
        <v>170</v>
      </c>
      <c r="E127" s="20">
        <v>18</v>
      </c>
      <c r="F127" s="20">
        <v>3</v>
      </c>
      <c r="G127" s="20">
        <f t="shared" si="3"/>
        <v>21</v>
      </c>
      <c r="H127" s="20">
        <v>0</v>
      </c>
      <c r="I127" s="20">
        <v>0</v>
      </c>
      <c r="J127" s="20">
        <f t="shared" si="4"/>
        <v>0</v>
      </c>
      <c r="K127" s="20">
        <v>0</v>
      </c>
      <c r="L127" s="20">
        <v>0</v>
      </c>
      <c r="M127" s="20">
        <f t="shared" si="5"/>
        <v>0</v>
      </c>
    </row>
    <row r="128" spans="2:13">
      <c r="B128" s="22"/>
      <c r="C128" s="22"/>
      <c r="D128" s="14" t="s">
        <v>215</v>
      </c>
      <c r="E128" s="20">
        <v>10</v>
      </c>
      <c r="F128" s="20">
        <v>0</v>
      </c>
      <c r="G128" s="20">
        <f t="shared" si="3"/>
        <v>10</v>
      </c>
      <c r="H128" s="20">
        <v>0</v>
      </c>
      <c r="I128" s="20">
        <v>0</v>
      </c>
      <c r="J128" s="20">
        <f t="shared" si="4"/>
        <v>0</v>
      </c>
      <c r="K128" s="20">
        <v>0</v>
      </c>
      <c r="L128" s="20">
        <v>0</v>
      </c>
      <c r="M128" s="20">
        <f t="shared" si="5"/>
        <v>0</v>
      </c>
    </row>
    <row r="129" spans="2:13">
      <c r="B129" s="22"/>
      <c r="C129" s="22"/>
      <c r="D129" s="14" t="s">
        <v>175</v>
      </c>
      <c r="E129" s="20">
        <v>2</v>
      </c>
      <c r="F129" s="20">
        <v>0</v>
      </c>
      <c r="G129" s="20">
        <f t="shared" si="3"/>
        <v>2</v>
      </c>
      <c r="H129" s="20">
        <v>0</v>
      </c>
      <c r="I129" s="20">
        <v>0</v>
      </c>
      <c r="J129" s="20">
        <f t="shared" si="4"/>
        <v>0</v>
      </c>
      <c r="K129" s="20">
        <v>0</v>
      </c>
      <c r="L129" s="20">
        <v>0</v>
      </c>
      <c r="M129" s="20">
        <f t="shared" si="5"/>
        <v>0</v>
      </c>
    </row>
    <row r="130" spans="2:13">
      <c r="B130" s="22"/>
      <c r="C130" s="22"/>
      <c r="D130" s="14" t="s">
        <v>176</v>
      </c>
      <c r="E130" s="20">
        <v>30</v>
      </c>
      <c r="F130" s="20">
        <v>0</v>
      </c>
      <c r="G130" s="20">
        <f t="shared" si="3"/>
        <v>30</v>
      </c>
      <c r="H130" s="20">
        <v>0</v>
      </c>
      <c r="I130" s="20">
        <v>0</v>
      </c>
      <c r="J130" s="20">
        <f t="shared" si="4"/>
        <v>0</v>
      </c>
      <c r="K130" s="20">
        <v>1</v>
      </c>
      <c r="L130" s="20">
        <v>0</v>
      </c>
      <c r="M130" s="20">
        <f t="shared" si="5"/>
        <v>1</v>
      </c>
    </row>
    <row r="131" spans="2:13">
      <c r="B131" s="22"/>
      <c r="C131" s="22"/>
      <c r="D131" s="14" t="s">
        <v>177</v>
      </c>
      <c r="E131" s="20">
        <v>0</v>
      </c>
      <c r="F131" s="20">
        <v>0</v>
      </c>
      <c r="G131" s="20">
        <f t="shared" si="3"/>
        <v>0</v>
      </c>
      <c r="H131" s="20">
        <v>8</v>
      </c>
      <c r="I131" s="20">
        <v>0</v>
      </c>
      <c r="J131" s="20">
        <f t="shared" si="4"/>
        <v>8</v>
      </c>
      <c r="K131" s="20">
        <v>0</v>
      </c>
      <c r="L131" s="20">
        <v>0</v>
      </c>
      <c r="M131" s="20">
        <f t="shared" si="5"/>
        <v>0</v>
      </c>
    </row>
    <row r="132" spans="2:13">
      <c r="B132" s="22"/>
      <c r="C132" s="22"/>
      <c r="D132" s="14" t="s">
        <v>186</v>
      </c>
      <c r="E132" s="20">
        <v>0</v>
      </c>
      <c r="F132" s="20">
        <v>0</v>
      </c>
      <c r="G132" s="20">
        <f t="shared" si="3"/>
        <v>0</v>
      </c>
      <c r="H132" s="20">
        <v>239</v>
      </c>
      <c r="I132" s="20">
        <v>0</v>
      </c>
      <c r="J132" s="20">
        <f t="shared" si="4"/>
        <v>239</v>
      </c>
      <c r="K132" s="20">
        <v>11</v>
      </c>
      <c r="L132" s="20">
        <v>0</v>
      </c>
      <c r="M132" s="20">
        <f t="shared" si="5"/>
        <v>11</v>
      </c>
    </row>
    <row r="133" spans="2:13">
      <c r="B133" s="23"/>
      <c r="C133" s="23"/>
      <c r="D133" s="14" t="s">
        <v>196</v>
      </c>
      <c r="E133" s="20">
        <v>0</v>
      </c>
      <c r="F133" s="20">
        <v>0</v>
      </c>
      <c r="G133" s="20">
        <f t="shared" si="3"/>
        <v>0</v>
      </c>
      <c r="H133" s="20">
        <v>0</v>
      </c>
      <c r="I133" s="20">
        <v>706</v>
      </c>
      <c r="J133" s="20">
        <f t="shared" si="4"/>
        <v>706</v>
      </c>
      <c r="K133" s="20">
        <v>0</v>
      </c>
      <c r="L133" s="20">
        <v>81</v>
      </c>
      <c r="M133" s="20">
        <f t="shared" si="5"/>
        <v>81</v>
      </c>
    </row>
    <row r="134" spans="2:13">
      <c r="B134" s="21" t="s">
        <v>69</v>
      </c>
      <c r="C134" s="21" t="s">
        <v>70</v>
      </c>
      <c r="D134" s="14" t="s">
        <v>216</v>
      </c>
      <c r="E134" s="20">
        <v>3681</v>
      </c>
      <c r="F134" s="20">
        <v>192</v>
      </c>
      <c r="G134" s="20">
        <f t="shared" ref="G134:G197" si="6">SUM(E134:F134)</f>
        <v>3873</v>
      </c>
      <c r="H134" s="20">
        <v>0</v>
      </c>
      <c r="I134" s="20">
        <v>0</v>
      </c>
      <c r="J134" s="20">
        <f t="shared" ref="J134:J197" si="7">SUM(H134:I134)</f>
        <v>0</v>
      </c>
      <c r="K134" s="20">
        <v>0</v>
      </c>
      <c r="L134" s="20">
        <v>0</v>
      </c>
      <c r="M134" s="20">
        <f t="shared" ref="M134:M197" si="8">SUM(K134:L134)</f>
        <v>0</v>
      </c>
    </row>
    <row r="135" spans="2:13">
      <c r="B135" s="22"/>
      <c r="C135" s="22"/>
      <c r="D135" s="14" t="s">
        <v>217</v>
      </c>
      <c r="E135" s="20">
        <v>46</v>
      </c>
      <c r="F135" s="20">
        <v>0</v>
      </c>
      <c r="G135" s="20">
        <f t="shared" si="6"/>
        <v>46</v>
      </c>
      <c r="H135" s="20">
        <v>0</v>
      </c>
      <c r="I135" s="20">
        <v>0</v>
      </c>
      <c r="J135" s="20">
        <f t="shared" si="7"/>
        <v>0</v>
      </c>
      <c r="K135" s="20">
        <v>0</v>
      </c>
      <c r="L135" s="20">
        <v>0</v>
      </c>
      <c r="M135" s="20">
        <f t="shared" si="8"/>
        <v>0</v>
      </c>
    </row>
    <row r="136" spans="2:13">
      <c r="B136" s="22"/>
      <c r="C136" s="22"/>
      <c r="D136" s="14" t="s">
        <v>119</v>
      </c>
      <c r="E136" s="20">
        <v>0</v>
      </c>
      <c r="F136" s="20">
        <v>0</v>
      </c>
      <c r="G136" s="20">
        <f t="shared" si="6"/>
        <v>0</v>
      </c>
      <c r="H136" s="20">
        <v>138</v>
      </c>
      <c r="I136" s="20">
        <v>2</v>
      </c>
      <c r="J136" s="20">
        <f t="shared" si="7"/>
        <v>140</v>
      </c>
      <c r="K136" s="20">
        <v>0</v>
      </c>
      <c r="L136" s="20">
        <v>0</v>
      </c>
      <c r="M136" s="20">
        <f t="shared" si="8"/>
        <v>0</v>
      </c>
    </row>
    <row r="137" spans="2:13">
      <c r="B137" s="22"/>
      <c r="C137" s="22"/>
      <c r="D137" s="14" t="s">
        <v>218</v>
      </c>
      <c r="E137" s="20">
        <v>0</v>
      </c>
      <c r="F137" s="20">
        <v>0</v>
      </c>
      <c r="G137" s="20">
        <f t="shared" si="6"/>
        <v>0</v>
      </c>
      <c r="H137" s="20">
        <v>5</v>
      </c>
      <c r="I137" s="20">
        <v>29610</v>
      </c>
      <c r="J137" s="20">
        <f t="shared" si="7"/>
        <v>29615</v>
      </c>
      <c r="K137" s="20">
        <v>0</v>
      </c>
      <c r="L137" s="20">
        <v>0</v>
      </c>
      <c r="M137" s="20">
        <f t="shared" si="8"/>
        <v>0</v>
      </c>
    </row>
    <row r="138" spans="2:13">
      <c r="B138" s="22"/>
      <c r="C138" s="23"/>
      <c r="D138" s="14" t="s">
        <v>219</v>
      </c>
      <c r="E138" s="20">
        <v>890</v>
      </c>
      <c r="F138" s="20">
        <v>0</v>
      </c>
      <c r="G138" s="20">
        <f t="shared" si="6"/>
        <v>890</v>
      </c>
      <c r="H138" s="20">
        <v>0</v>
      </c>
      <c r="I138" s="20">
        <v>0</v>
      </c>
      <c r="J138" s="20">
        <f t="shared" si="7"/>
        <v>0</v>
      </c>
      <c r="K138" s="20">
        <v>0</v>
      </c>
      <c r="L138" s="20">
        <v>0</v>
      </c>
      <c r="M138" s="20">
        <f t="shared" si="8"/>
        <v>0</v>
      </c>
    </row>
    <row r="139" spans="2:13">
      <c r="B139" s="22"/>
      <c r="C139" s="21" t="s">
        <v>65</v>
      </c>
      <c r="D139" s="14" t="s">
        <v>220</v>
      </c>
      <c r="E139" s="20">
        <v>0</v>
      </c>
      <c r="F139" s="20">
        <v>0</v>
      </c>
      <c r="G139" s="20">
        <f t="shared" si="6"/>
        <v>0</v>
      </c>
      <c r="H139" s="20">
        <v>0</v>
      </c>
      <c r="I139" s="20">
        <v>0</v>
      </c>
      <c r="J139" s="20">
        <f t="shared" si="7"/>
        <v>0</v>
      </c>
      <c r="K139" s="20">
        <v>19</v>
      </c>
      <c r="L139" s="20">
        <v>0</v>
      </c>
      <c r="M139" s="20">
        <f t="shared" si="8"/>
        <v>19</v>
      </c>
    </row>
    <row r="140" spans="2:13">
      <c r="B140" s="22"/>
      <c r="C140" s="22"/>
      <c r="D140" s="14" t="s">
        <v>221</v>
      </c>
      <c r="E140" s="20">
        <v>76</v>
      </c>
      <c r="F140" s="20">
        <v>0</v>
      </c>
      <c r="G140" s="20">
        <f t="shared" si="6"/>
        <v>76</v>
      </c>
      <c r="H140" s="20">
        <v>0</v>
      </c>
      <c r="I140" s="20">
        <v>0</v>
      </c>
      <c r="J140" s="20">
        <f t="shared" si="7"/>
        <v>0</v>
      </c>
      <c r="K140" s="20">
        <v>11</v>
      </c>
      <c r="L140" s="20">
        <v>0</v>
      </c>
      <c r="M140" s="20">
        <f t="shared" si="8"/>
        <v>11</v>
      </c>
    </row>
    <row r="141" spans="2:13">
      <c r="B141" s="22"/>
      <c r="C141" s="22"/>
      <c r="D141" s="14" t="s">
        <v>222</v>
      </c>
      <c r="E141" s="20">
        <v>2777</v>
      </c>
      <c r="F141" s="20">
        <v>20</v>
      </c>
      <c r="G141" s="20">
        <f t="shared" si="6"/>
        <v>2797</v>
      </c>
      <c r="H141" s="20">
        <v>0</v>
      </c>
      <c r="I141" s="20">
        <v>0</v>
      </c>
      <c r="J141" s="20">
        <f t="shared" si="7"/>
        <v>0</v>
      </c>
      <c r="K141" s="20">
        <v>0</v>
      </c>
      <c r="L141" s="20">
        <v>0</v>
      </c>
      <c r="M141" s="20">
        <f t="shared" si="8"/>
        <v>0</v>
      </c>
    </row>
    <row r="142" spans="2:13">
      <c r="B142" s="22"/>
      <c r="C142" s="22"/>
      <c r="D142" s="14" t="s">
        <v>223</v>
      </c>
      <c r="E142" s="20">
        <v>0</v>
      </c>
      <c r="F142" s="20">
        <v>0</v>
      </c>
      <c r="G142" s="20">
        <f t="shared" si="6"/>
        <v>0</v>
      </c>
      <c r="H142" s="20">
        <v>0</v>
      </c>
      <c r="I142" s="20">
        <v>0</v>
      </c>
      <c r="J142" s="20">
        <f t="shared" si="7"/>
        <v>0</v>
      </c>
      <c r="K142" s="20">
        <v>41</v>
      </c>
      <c r="L142" s="20">
        <v>0</v>
      </c>
      <c r="M142" s="20">
        <f t="shared" si="8"/>
        <v>41</v>
      </c>
    </row>
    <row r="143" spans="2:13">
      <c r="B143" s="22"/>
      <c r="C143" s="22"/>
      <c r="D143" s="14" t="s">
        <v>224</v>
      </c>
      <c r="E143" s="20">
        <v>3</v>
      </c>
      <c r="F143" s="20">
        <v>0</v>
      </c>
      <c r="G143" s="20">
        <f t="shared" si="6"/>
        <v>3</v>
      </c>
      <c r="H143" s="20">
        <v>0</v>
      </c>
      <c r="I143" s="20">
        <v>0</v>
      </c>
      <c r="J143" s="20">
        <f t="shared" si="7"/>
        <v>0</v>
      </c>
      <c r="K143" s="20">
        <v>0</v>
      </c>
      <c r="L143" s="20">
        <v>0</v>
      </c>
      <c r="M143" s="20">
        <f t="shared" si="8"/>
        <v>0</v>
      </c>
    </row>
    <row r="144" spans="2:13">
      <c r="B144" s="22"/>
      <c r="C144" s="22"/>
      <c r="D144" s="14" t="s">
        <v>225</v>
      </c>
      <c r="E144" s="20">
        <v>25</v>
      </c>
      <c r="F144" s="20">
        <v>0</v>
      </c>
      <c r="G144" s="20">
        <f t="shared" si="6"/>
        <v>25</v>
      </c>
      <c r="H144" s="20">
        <v>0</v>
      </c>
      <c r="I144" s="20">
        <v>0</v>
      </c>
      <c r="J144" s="20">
        <f t="shared" si="7"/>
        <v>0</v>
      </c>
      <c r="K144" s="20">
        <v>14</v>
      </c>
      <c r="L144" s="20">
        <v>0</v>
      </c>
      <c r="M144" s="20">
        <f t="shared" si="8"/>
        <v>14</v>
      </c>
    </row>
    <row r="145" spans="2:13">
      <c r="B145" s="22"/>
      <c r="C145" s="22"/>
      <c r="D145" s="14" t="s">
        <v>226</v>
      </c>
      <c r="E145" s="20">
        <v>0</v>
      </c>
      <c r="F145" s="20">
        <v>0</v>
      </c>
      <c r="G145" s="20">
        <f t="shared" si="6"/>
        <v>0</v>
      </c>
      <c r="H145" s="20">
        <v>2948</v>
      </c>
      <c r="I145" s="20">
        <v>0</v>
      </c>
      <c r="J145" s="20">
        <f t="shared" si="7"/>
        <v>2948</v>
      </c>
      <c r="K145" s="20">
        <v>0</v>
      </c>
      <c r="L145" s="20">
        <v>0</v>
      </c>
      <c r="M145" s="20">
        <f t="shared" si="8"/>
        <v>0</v>
      </c>
    </row>
    <row r="146" spans="2:13">
      <c r="B146" s="22"/>
      <c r="C146" s="22"/>
      <c r="D146" s="14" t="s">
        <v>227</v>
      </c>
      <c r="E146" s="20">
        <v>0</v>
      </c>
      <c r="F146" s="20">
        <v>0</v>
      </c>
      <c r="G146" s="20">
        <f t="shared" si="6"/>
        <v>0</v>
      </c>
      <c r="H146" s="20">
        <v>0</v>
      </c>
      <c r="I146" s="20">
        <v>86</v>
      </c>
      <c r="J146" s="20">
        <f t="shared" si="7"/>
        <v>86</v>
      </c>
      <c r="K146" s="20">
        <v>0</v>
      </c>
      <c r="L146" s="20">
        <v>5</v>
      </c>
      <c r="M146" s="20">
        <f t="shared" si="8"/>
        <v>5</v>
      </c>
    </row>
    <row r="147" spans="2:13">
      <c r="B147" s="22"/>
      <c r="C147" s="22"/>
      <c r="D147" s="14" t="s">
        <v>184</v>
      </c>
      <c r="E147" s="20">
        <v>0</v>
      </c>
      <c r="F147" s="20">
        <v>0</v>
      </c>
      <c r="G147" s="20">
        <f t="shared" si="6"/>
        <v>0</v>
      </c>
      <c r="H147" s="20">
        <v>0</v>
      </c>
      <c r="I147" s="20">
        <v>89</v>
      </c>
      <c r="J147" s="20">
        <f t="shared" si="7"/>
        <v>89</v>
      </c>
      <c r="K147" s="20">
        <v>0</v>
      </c>
      <c r="L147" s="20">
        <v>0</v>
      </c>
      <c r="M147" s="20">
        <f t="shared" si="8"/>
        <v>0</v>
      </c>
    </row>
    <row r="148" spans="2:13">
      <c r="B148" s="22"/>
      <c r="C148" s="22"/>
      <c r="D148" s="14" t="s">
        <v>205</v>
      </c>
      <c r="E148" s="20">
        <v>0</v>
      </c>
      <c r="F148" s="20">
        <v>0</v>
      </c>
      <c r="G148" s="20">
        <f t="shared" si="6"/>
        <v>0</v>
      </c>
      <c r="H148" s="20">
        <v>3308</v>
      </c>
      <c r="I148" s="20">
        <v>33</v>
      </c>
      <c r="J148" s="20">
        <f t="shared" si="7"/>
        <v>3341</v>
      </c>
      <c r="K148" s="20">
        <v>0</v>
      </c>
      <c r="L148" s="20">
        <v>0</v>
      </c>
      <c r="M148" s="20">
        <f t="shared" si="8"/>
        <v>0</v>
      </c>
    </row>
    <row r="149" spans="2:13">
      <c r="B149" s="22"/>
      <c r="C149" s="22"/>
      <c r="D149" s="14" t="s">
        <v>206</v>
      </c>
      <c r="E149" s="20">
        <v>0</v>
      </c>
      <c r="F149" s="20">
        <v>0</v>
      </c>
      <c r="G149" s="20">
        <f t="shared" si="6"/>
        <v>0</v>
      </c>
      <c r="H149" s="20">
        <v>0</v>
      </c>
      <c r="I149" s="20">
        <v>2310</v>
      </c>
      <c r="J149" s="20">
        <f t="shared" si="7"/>
        <v>2310</v>
      </c>
      <c r="K149" s="20">
        <v>0</v>
      </c>
      <c r="L149" s="20">
        <v>0</v>
      </c>
      <c r="M149" s="20">
        <f t="shared" si="8"/>
        <v>0</v>
      </c>
    </row>
    <row r="150" spans="2:13">
      <c r="B150" s="22"/>
      <c r="C150" s="23"/>
      <c r="D150" s="14" t="s">
        <v>207</v>
      </c>
      <c r="E150" s="20">
        <v>0</v>
      </c>
      <c r="F150" s="20">
        <v>0</v>
      </c>
      <c r="G150" s="20">
        <f t="shared" si="6"/>
        <v>0</v>
      </c>
      <c r="H150" s="20">
        <v>0</v>
      </c>
      <c r="I150" s="20">
        <v>935</v>
      </c>
      <c r="J150" s="20">
        <f t="shared" si="7"/>
        <v>935</v>
      </c>
      <c r="K150" s="20">
        <v>0</v>
      </c>
      <c r="L150" s="20">
        <v>0</v>
      </c>
      <c r="M150" s="20">
        <f t="shared" si="8"/>
        <v>0</v>
      </c>
    </row>
    <row r="151" spans="2:13">
      <c r="B151" s="22"/>
      <c r="C151" s="21" t="s">
        <v>71</v>
      </c>
      <c r="D151" s="14" t="s">
        <v>221</v>
      </c>
      <c r="E151" s="20">
        <v>88</v>
      </c>
      <c r="F151" s="20">
        <v>0</v>
      </c>
      <c r="G151" s="20">
        <f t="shared" si="6"/>
        <v>88</v>
      </c>
      <c r="H151" s="20">
        <v>0</v>
      </c>
      <c r="I151" s="20">
        <v>0</v>
      </c>
      <c r="J151" s="20">
        <f t="shared" si="7"/>
        <v>0</v>
      </c>
      <c r="K151" s="20">
        <v>33</v>
      </c>
      <c r="L151" s="20">
        <v>0</v>
      </c>
      <c r="M151" s="20">
        <f t="shared" si="8"/>
        <v>33</v>
      </c>
    </row>
    <row r="152" spans="2:13">
      <c r="B152" s="22"/>
      <c r="C152" s="22"/>
      <c r="D152" s="14" t="s">
        <v>222</v>
      </c>
      <c r="E152" s="20">
        <v>922</v>
      </c>
      <c r="F152" s="20">
        <v>21</v>
      </c>
      <c r="G152" s="20">
        <f t="shared" si="6"/>
        <v>943</v>
      </c>
      <c r="H152" s="20">
        <v>0</v>
      </c>
      <c r="I152" s="20">
        <v>0</v>
      </c>
      <c r="J152" s="20">
        <f t="shared" si="7"/>
        <v>0</v>
      </c>
      <c r="K152" s="20">
        <v>0</v>
      </c>
      <c r="L152" s="20">
        <v>0</v>
      </c>
      <c r="M152" s="20">
        <f t="shared" si="8"/>
        <v>0</v>
      </c>
    </row>
    <row r="153" spans="2:13">
      <c r="B153" s="22"/>
      <c r="C153" s="22"/>
      <c r="D153" s="14" t="s">
        <v>228</v>
      </c>
      <c r="E153" s="20">
        <v>0</v>
      </c>
      <c r="F153" s="20">
        <v>0</v>
      </c>
      <c r="G153" s="20">
        <f t="shared" si="6"/>
        <v>0</v>
      </c>
      <c r="H153" s="20">
        <v>0</v>
      </c>
      <c r="I153" s="20">
        <v>0</v>
      </c>
      <c r="J153" s="20">
        <f t="shared" si="7"/>
        <v>0</v>
      </c>
      <c r="K153" s="20">
        <v>164</v>
      </c>
      <c r="L153" s="20">
        <v>0</v>
      </c>
      <c r="M153" s="20">
        <f t="shared" si="8"/>
        <v>164</v>
      </c>
    </row>
    <row r="154" spans="2:13">
      <c r="B154" s="22"/>
      <c r="C154" s="22"/>
      <c r="D154" s="14" t="s">
        <v>229</v>
      </c>
      <c r="E154" s="20">
        <v>0</v>
      </c>
      <c r="F154" s="20">
        <v>0</v>
      </c>
      <c r="G154" s="20">
        <f t="shared" si="6"/>
        <v>0</v>
      </c>
      <c r="H154" s="20">
        <v>0</v>
      </c>
      <c r="I154" s="20">
        <v>0</v>
      </c>
      <c r="J154" s="20">
        <f t="shared" si="7"/>
        <v>0</v>
      </c>
      <c r="K154" s="20">
        <v>82</v>
      </c>
      <c r="L154" s="20">
        <v>0</v>
      </c>
      <c r="M154" s="20">
        <f t="shared" si="8"/>
        <v>82</v>
      </c>
    </row>
    <row r="155" spans="2:13">
      <c r="B155" s="22"/>
      <c r="C155" s="22"/>
      <c r="D155" s="14" t="s">
        <v>230</v>
      </c>
      <c r="E155" s="20">
        <v>0</v>
      </c>
      <c r="F155" s="20">
        <v>0</v>
      </c>
      <c r="G155" s="20">
        <f t="shared" si="6"/>
        <v>0</v>
      </c>
      <c r="H155" s="20">
        <v>0</v>
      </c>
      <c r="I155" s="20">
        <v>0</v>
      </c>
      <c r="J155" s="20">
        <f t="shared" si="7"/>
        <v>0</v>
      </c>
      <c r="K155" s="20">
        <v>182</v>
      </c>
      <c r="L155" s="20">
        <v>0</v>
      </c>
      <c r="M155" s="20">
        <f t="shared" si="8"/>
        <v>182</v>
      </c>
    </row>
    <row r="156" spans="2:13">
      <c r="B156" s="22"/>
      <c r="C156" s="22"/>
      <c r="D156" s="14" t="s">
        <v>231</v>
      </c>
      <c r="E156" s="20">
        <v>13</v>
      </c>
      <c r="F156" s="20">
        <v>0</v>
      </c>
      <c r="G156" s="20">
        <f t="shared" si="6"/>
        <v>13</v>
      </c>
      <c r="H156" s="20">
        <v>0</v>
      </c>
      <c r="I156" s="20">
        <v>0</v>
      </c>
      <c r="J156" s="20">
        <f t="shared" si="7"/>
        <v>0</v>
      </c>
      <c r="K156" s="20">
        <v>0</v>
      </c>
      <c r="L156" s="20">
        <v>0</v>
      </c>
      <c r="M156" s="20">
        <f t="shared" si="8"/>
        <v>0</v>
      </c>
    </row>
    <row r="157" spans="2:13">
      <c r="B157" s="22"/>
      <c r="C157" s="22"/>
      <c r="D157" s="14" t="s">
        <v>217</v>
      </c>
      <c r="E157" s="20">
        <v>115</v>
      </c>
      <c r="F157" s="20">
        <v>181</v>
      </c>
      <c r="G157" s="20">
        <f t="shared" si="6"/>
        <v>296</v>
      </c>
      <c r="H157" s="20">
        <v>0</v>
      </c>
      <c r="I157" s="20">
        <v>0</v>
      </c>
      <c r="J157" s="20">
        <f t="shared" si="7"/>
        <v>0</v>
      </c>
      <c r="K157" s="20">
        <v>0</v>
      </c>
      <c r="L157" s="20">
        <v>0</v>
      </c>
      <c r="M157" s="20">
        <f t="shared" si="8"/>
        <v>0</v>
      </c>
    </row>
    <row r="158" spans="2:13">
      <c r="B158" s="22"/>
      <c r="C158" s="22"/>
      <c r="D158" s="14" t="s">
        <v>232</v>
      </c>
      <c r="E158" s="20">
        <v>10</v>
      </c>
      <c r="F158" s="20">
        <v>0</v>
      </c>
      <c r="G158" s="20">
        <f t="shared" si="6"/>
        <v>10</v>
      </c>
      <c r="H158" s="20">
        <v>0</v>
      </c>
      <c r="I158" s="20">
        <v>0</v>
      </c>
      <c r="J158" s="20">
        <f t="shared" si="7"/>
        <v>0</v>
      </c>
      <c r="K158" s="20">
        <v>0</v>
      </c>
      <c r="L158" s="20">
        <v>0</v>
      </c>
      <c r="M158" s="20">
        <f t="shared" si="8"/>
        <v>0</v>
      </c>
    </row>
    <row r="159" spans="2:13">
      <c r="B159" s="22"/>
      <c r="C159" s="22"/>
      <c r="D159" s="14" t="s">
        <v>233</v>
      </c>
      <c r="E159" s="20">
        <v>425</v>
      </c>
      <c r="F159" s="20">
        <v>0</v>
      </c>
      <c r="G159" s="20">
        <f t="shared" si="6"/>
        <v>425</v>
      </c>
      <c r="H159" s="20">
        <v>0</v>
      </c>
      <c r="I159" s="20">
        <v>0</v>
      </c>
      <c r="J159" s="20">
        <f t="shared" si="7"/>
        <v>0</v>
      </c>
      <c r="K159" s="20">
        <v>0</v>
      </c>
      <c r="L159" s="20">
        <v>0</v>
      </c>
      <c r="M159" s="20">
        <f t="shared" si="8"/>
        <v>0</v>
      </c>
    </row>
    <row r="160" spans="2:13">
      <c r="B160" s="22"/>
      <c r="C160" s="23"/>
      <c r="D160" s="14" t="s">
        <v>71</v>
      </c>
      <c r="E160" s="20">
        <v>125</v>
      </c>
      <c r="F160" s="20">
        <v>174</v>
      </c>
      <c r="G160" s="20">
        <f t="shared" si="6"/>
        <v>299</v>
      </c>
      <c r="H160" s="20">
        <v>0</v>
      </c>
      <c r="I160" s="20">
        <v>0</v>
      </c>
      <c r="J160" s="20">
        <f t="shared" si="7"/>
        <v>0</v>
      </c>
      <c r="K160" s="20">
        <v>0</v>
      </c>
      <c r="L160" s="20">
        <v>0</v>
      </c>
      <c r="M160" s="20">
        <f t="shared" si="8"/>
        <v>0</v>
      </c>
    </row>
    <row r="161" spans="2:13">
      <c r="B161" s="22"/>
      <c r="C161" s="21" t="s">
        <v>72</v>
      </c>
      <c r="D161" s="14" t="s">
        <v>234</v>
      </c>
      <c r="E161" s="20">
        <v>0</v>
      </c>
      <c r="F161" s="20">
        <v>0</v>
      </c>
      <c r="G161" s="20">
        <f t="shared" si="6"/>
        <v>0</v>
      </c>
      <c r="H161" s="20">
        <v>0</v>
      </c>
      <c r="I161" s="20">
        <v>0</v>
      </c>
      <c r="J161" s="20">
        <f t="shared" si="7"/>
        <v>0</v>
      </c>
      <c r="K161" s="20">
        <v>44</v>
      </c>
      <c r="L161" s="20">
        <v>0</v>
      </c>
      <c r="M161" s="20">
        <f t="shared" si="8"/>
        <v>44</v>
      </c>
    </row>
    <row r="162" spans="2:13">
      <c r="B162" s="23"/>
      <c r="C162" s="23"/>
      <c r="D162" s="14" t="s">
        <v>235</v>
      </c>
      <c r="E162" s="20">
        <v>0</v>
      </c>
      <c r="F162" s="20">
        <v>0</v>
      </c>
      <c r="G162" s="20">
        <f t="shared" si="6"/>
        <v>0</v>
      </c>
      <c r="H162" s="20">
        <v>0</v>
      </c>
      <c r="I162" s="20">
        <v>0</v>
      </c>
      <c r="J162" s="20">
        <f t="shared" si="7"/>
        <v>0</v>
      </c>
      <c r="K162" s="20">
        <v>29</v>
      </c>
      <c r="L162" s="20">
        <v>0</v>
      </c>
      <c r="M162" s="20">
        <f t="shared" si="8"/>
        <v>29</v>
      </c>
    </row>
    <row r="163" spans="2:13">
      <c r="B163" s="21" t="s">
        <v>73</v>
      </c>
      <c r="C163" s="14" t="s">
        <v>74</v>
      </c>
      <c r="D163" s="14" t="s">
        <v>236</v>
      </c>
      <c r="E163" s="20">
        <v>40</v>
      </c>
      <c r="F163" s="20">
        <v>0</v>
      </c>
      <c r="G163" s="20">
        <f t="shared" si="6"/>
        <v>40</v>
      </c>
      <c r="H163" s="20">
        <v>0</v>
      </c>
      <c r="I163" s="20">
        <v>0</v>
      </c>
      <c r="J163" s="20">
        <f t="shared" si="7"/>
        <v>0</v>
      </c>
      <c r="K163" s="20">
        <v>0</v>
      </c>
      <c r="L163" s="20">
        <v>0</v>
      </c>
      <c r="M163" s="20">
        <f t="shared" si="8"/>
        <v>0</v>
      </c>
    </row>
    <row r="164" spans="2:13">
      <c r="B164" s="22"/>
      <c r="C164" s="21" t="s">
        <v>65</v>
      </c>
      <c r="D164" s="14" t="s">
        <v>237</v>
      </c>
      <c r="E164" s="20">
        <v>330</v>
      </c>
      <c r="F164" s="20">
        <v>0</v>
      </c>
      <c r="G164" s="20">
        <f t="shared" si="6"/>
        <v>330</v>
      </c>
      <c r="H164" s="20">
        <v>0</v>
      </c>
      <c r="I164" s="20">
        <v>0</v>
      </c>
      <c r="J164" s="20">
        <f t="shared" si="7"/>
        <v>0</v>
      </c>
      <c r="K164" s="20">
        <v>538</v>
      </c>
      <c r="L164" s="20">
        <v>0</v>
      </c>
      <c r="M164" s="20">
        <f t="shared" si="8"/>
        <v>538</v>
      </c>
    </row>
    <row r="165" spans="2:13">
      <c r="B165" s="22"/>
      <c r="C165" s="22"/>
      <c r="D165" s="14" t="s">
        <v>238</v>
      </c>
      <c r="E165" s="20">
        <v>0</v>
      </c>
      <c r="F165" s="20">
        <v>0</v>
      </c>
      <c r="G165" s="20">
        <f t="shared" si="6"/>
        <v>0</v>
      </c>
      <c r="H165" s="20">
        <v>128</v>
      </c>
      <c r="I165" s="20">
        <v>53</v>
      </c>
      <c r="J165" s="20">
        <f t="shared" si="7"/>
        <v>181</v>
      </c>
      <c r="K165" s="20">
        <v>47</v>
      </c>
      <c r="L165" s="20">
        <v>10</v>
      </c>
      <c r="M165" s="20">
        <f t="shared" si="8"/>
        <v>57</v>
      </c>
    </row>
    <row r="166" spans="2:13">
      <c r="B166" s="22"/>
      <c r="C166" s="22"/>
      <c r="D166" s="14" t="s">
        <v>239</v>
      </c>
      <c r="E166" s="20">
        <v>49</v>
      </c>
      <c r="F166" s="20">
        <v>7</v>
      </c>
      <c r="G166" s="20">
        <f t="shared" si="6"/>
        <v>56</v>
      </c>
      <c r="H166" s="20">
        <v>0</v>
      </c>
      <c r="I166" s="20">
        <v>0</v>
      </c>
      <c r="J166" s="20">
        <f t="shared" si="7"/>
        <v>0</v>
      </c>
      <c r="K166" s="20">
        <v>0</v>
      </c>
      <c r="L166" s="20">
        <v>0</v>
      </c>
      <c r="M166" s="20">
        <f t="shared" si="8"/>
        <v>0</v>
      </c>
    </row>
    <row r="167" spans="2:13">
      <c r="B167" s="22"/>
      <c r="C167" s="22"/>
      <c r="D167" s="14" t="s">
        <v>240</v>
      </c>
      <c r="E167" s="20">
        <v>27</v>
      </c>
      <c r="F167" s="20">
        <v>0</v>
      </c>
      <c r="G167" s="20">
        <f t="shared" si="6"/>
        <v>27</v>
      </c>
      <c r="H167" s="20">
        <v>0</v>
      </c>
      <c r="I167" s="20">
        <v>0</v>
      </c>
      <c r="J167" s="20">
        <f t="shared" si="7"/>
        <v>0</v>
      </c>
      <c r="K167" s="20">
        <v>0</v>
      </c>
      <c r="L167" s="20">
        <v>0</v>
      </c>
      <c r="M167" s="20">
        <f t="shared" si="8"/>
        <v>0</v>
      </c>
    </row>
    <row r="168" spans="2:13">
      <c r="B168" s="22"/>
      <c r="C168" s="22"/>
      <c r="D168" s="14" t="s">
        <v>241</v>
      </c>
      <c r="E168" s="20">
        <v>0</v>
      </c>
      <c r="F168" s="20">
        <v>0</v>
      </c>
      <c r="G168" s="20">
        <f t="shared" si="6"/>
        <v>0</v>
      </c>
      <c r="H168" s="20">
        <v>0</v>
      </c>
      <c r="I168" s="20">
        <v>0</v>
      </c>
      <c r="J168" s="20">
        <f t="shared" si="7"/>
        <v>0</v>
      </c>
      <c r="K168" s="20">
        <v>186</v>
      </c>
      <c r="L168" s="20">
        <v>0</v>
      </c>
      <c r="M168" s="20">
        <f t="shared" si="8"/>
        <v>186</v>
      </c>
    </row>
    <row r="169" spans="2:13">
      <c r="B169" s="22"/>
      <c r="C169" s="22"/>
      <c r="D169" s="14" t="s">
        <v>242</v>
      </c>
      <c r="E169" s="20">
        <v>5</v>
      </c>
      <c r="F169" s="20">
        <v>0</v>
      </c>
      <c r="G169" s="20">
        <f t="shared" si="6"/>
        <v>5</v>
      </c>
      <c r="H169" s="20">
        <v>0</v>
      </c>
      <c r="I169" s="20">
        <v>0</v>
      </c>
      <c r="J169" s="20">
        <f t="shared" si="7"/>
        <v>0</v>
      </c>
      <c r="K169" s="20">
        <v>0</v>
      </c>
      <c r="L169" s="20">
        <v>0</v>
      </c>
      <c r="M169" s="20">
        <f t="shared" si="8"/>
        <v>0</v>
      </c>
    </row>
    <row r="170" spans="2:13">
      <c r="B170" s="22"/>
      <c r="C170" s="22"/>
      <c r="D170" s="14" t="s">
        <v>243</v>
      </c>
      <c r="E170" s="20">
        <v>13</v>
      </c>
      <c r="F170" s="20">
        <v>0</v>
      </c>
      <c r="G170" s="20">
        <f t="shared" si="6"/>
        <v>13</v>
      </c>
      <c r="H170" s="20">
        <v>0</v>
      </c>
      <c r="I170" s="20">
        <v>0</v>
      </c>
      <c r="J170" s="20">
        <f t="shared" si="7"/>
        <v>0</v>
      </c>
      <c r="K170" s="20">
        <v>0</v>
      </c>
      <c r="L170" s="20">
        <v>0</v>
      </c>
      <c r="M170" s="20">
        <f t="shared" si="8"/>
        <v>0</v>
      </c>
    </row>
    <row r="171" spans="2:13">
      <c r="B171" s="22"/>
      <c r="C171" s="22"/>
      <c r="D171" s="14" t="s">
        <v>244</v>
      </c>
      <c r="E171" s="20">
        <v>0</v>
      </c>
      <c r="F171" s="20">
        <v>0</v>
      </c>
      <c r="G171" s="20">
        <f t="shared" si="6"/>
        <v>0</v>
      </c>
      <c r="H171" s="20">
        <v>0</v>
      </c>
      <c r="I171" s="20">
        <v>36</v>
      </c>
      <c r="J171" s="20">
        <f t="shared" si="7"/>
        <v>36</v>
      </c>
      <c r="K171" s="20">
        <v>0</v>
      </c>
      <c r="L171" s="20">
        <v>38</v>
      </c>
      <c r="M171" s="20">
        <f t="shared" si="8"/>
        <v>38</v>
      </c>
    </row>
    <row r="172" spans="2:13">
      <c r="B172" s="22"/>
      <c r="C172" s="22"/>
      <c r="D172" s="14" t="s">
        <v>245</v>
      </c>
      <c r="E172" s="20">
        <v>0</v>
      </c>
      <c r="F172" s="20">
        <v>0</v>
      </c>
      <c r="G172" s="20">
        <f t="shared" si="6"/>
        <v>0</v>
      </c>
      <c r="H172" s="20">
        <v>0</v>
      </c>
      <c r="I172" s="20">
        <v>89</v>
      </c>
      <c r="J172" s="20">
        <f t="shared" si="7"/>
        <v>89</v>
      </c>
      <c r="K172" s="20">
        <v>0</v>
      </c>
      <c r="L172" s="20">
        <v>9</v>
      </c>
      <c r="M172" s="20">
        <f t="shared" si="8"/>
        <v>9</v>
      </c>
    </row>
    <row r="173" spans="2:13">
      <c r="B173" s="22"/>
      <c r="C173" s="22"/>
      <c r="D173" s="14" t="s">
        <v>184</v>
      </c>
      <c r="E173" s="20">
        <v>0</v>
      </c>
      <c r="F173" s="20">
        <v>0</v>
      </c>
      <c r="G173" s="20">
        <f t="shared" si="6"/>
        <v>0</v>
      </c>
      <c r="H173" s="20">
        <v>0</v>
      </c>
      <c r="I173" s="20">
        <v>174</v>
      </c>
      <c r="J173" s="20">
        <f t="shared" si="7"/>
        <v>174</v>
      </c>
      <c r="K173" s="20">
        <v>0</v>
      </c>
      <c r="L173" s="20">
        <v>0</v>
      </c>
      <c r="M173" s="20">
        <f t="shared" si="8"/>
        <v>0</v>
      </c>
    </row>
    <row r="174" spans="2:13">
      <c r="B174" s="22"/>
      <c r="C174" s="22"/>
      <c r="D174" s="14" t="s">
        <v>246</v>
      </c>
      <c r="E174" s="20">
        <v>0</v>
      </c>
      <c r="F174" s="20">
        <v>0</v>
      </c>
      <c r="G174" s="20">
        <f t="shared" si="6"/>
        <v>0</v>
      </c>
      <c r="H174" s="20">
        <v>0</v>
      </c>
      <c r="I174" s="20">
        <v>40</v>
      </c>
      <c r="J174" s="20">
        <f t="shared" si="7"/>
        <v>40</v>
      </c>
      <c r="K174" s="20">
        <v>0</v>
      </c>
      <c r="L174" s="20">
        <v>7</v>
      </c>
      <c r="M174" s="20">
        <f t="shared" si="8"/>
        <v>7</v>
      </c>
    </row>
    <row r="175" spans="2:13">
      <c r="B175" s="22"/>
      <c r="C175" s="22"/>
      <c r="D175" s="14" t="s">
        <v>247</v>
      </c>
      <c r="E175" s="20">
        <v>0</v>
      </c>
      <c r="F175" s="20">
        <v>0</v>
      </c>
      <c r="G175" s="20">
        <f t="shared" si="6"/>
        <v>0</v>
      </c>
      <c r="H175" s="20">
        <v>0</v>
      </c>
      <c r="I175" s="20">
        <v>0</v>
      </c>
      <c r="J175" s="20">
        <f t="shared" si="7"/>
        <v>0</v>
      </c>
      <c r="K175" s="20">
        <v>1656</v>
      </c>
      <c r="L175" s="20">
        <v>0</v>
      </c>
      <c r="M175" s="20">
        <f t="shared" si="8"/>
        <v>1656</v>
      </c>
    </row>
    <row r="176" spans="2:13">
      <c r="B176" s="22"/>
      <c r="C176" s="22"/>
      <c r="D176" s="14" t="s">
        <v>205</v>
      </c>
      <c r="E176" s="20">
        <v>0</v>
      </c>
      <c r="F176" s="20">
        <v>0</v>
      </c>
      <c r="G176" s="20">
        <f t="shared" si="6"/>
        <v>0</v>
      </c>
      <c r="H176" s="20">
        <v>293</v>
      </c>
      <c r="I176" s="20">
        <v>0</v>
      </c>
      <c r="J176" s="20">
        <f t="shared" si="7"/>
        <v>293</v>
      </c>
      <c r="K176" s="20">
        <v>0</v>
      </c>
      <c r="L176" s="20">
        <v>0</v>
      </c>
      <c r="M176" s="20">
        <f t="shared" si="8"/>
        <v>0</v>
      </c>
    </row>
    <row r="177" spans="2:13">
      <c r="B177" s="22"/>
      <c r="C177" s="22"/>
      <c r="D177" s="14" t="s">
        <v>206</v>
      </c>
      <c r="E177" s="20">
        <v>0</v>
      </c>
      <c r="F177" s="20">
        <v>0</v>
      </c>
      <c r="G177" s="20">
        <f t="shared" si="6"/>
        <v>0</v>
      </c>
      <c r="H177" s="20">
        <v>0</v>
      </c>
      <c r="I177" s="20">
        <v>34</v>
      </c>
      <c r="J177" s="20">
        <f t="shared" si="7"/>
        <v>34</v>
      </c>
      <c r="K177" s="20">
        <v>0</v>
      </c>
      <c r="L177" s="20">
        <v>0</v>
      </c>
      <c r="M177" s="20">
        <f t="shared" si="8"/>
        <v>0</v>
      </c>
    </row>
    <row r="178" spans="2:13">
      <c r="B178" s="22"/>
      <c r="C178" s="22"/>
      <c r="D178" s="14" t="s">
        <v>207</v>
      </c>
      <c r="E178" s="20">
        <v>0</v>
      </c>
      <c r="F178" s="20">
        <v>0</v>
      </c>
      <c r="G178" s="20">
        <f t="shared" si="6"/>
        <v>0</v>
      </c>
      <c r="H178" s="20">
        <v>0</v>
      </c>
      <c r="I178" s="20">
        <v>5</v>
      </c>
      <c r="J178" s="20">
        <f t="shared" si="7"/>
        <v>5</v>
      </c>
      <c r="K178" s="20">
        <v>0</v>
      </c>
      <c r="L178" s="20">
        <v>0</v>
      </c>
      <c r="M178" s="20">
        <f t="shared" si="8"/>
        <v>0</v>
      </c>
    </row>
    <row r="179" spans="2:13">
      <c r="B179" s="23"/>
      <c r="C179" s="23"/>
      <c r="D179" s="14" t="s">
        <v>248</v>
      </c>
      <c r="E179" s="20">
        <v>0</v>
      </c>
      <c r="F179" s="20">
        <v>0</v>
      </c>
      <c r="G179" s="20">
        <f t="shared" si="6"/>
        <v>0</v>
      </c>
      <c r="H179" s="20">
        <v>0</v>
      </c>
      <c r="I179" s="20">
        <v>0</v>
      </c>
      <c r="J179" s="20">
        <f t="shared" si="7"/>
        <v>0</v>
      </c>
      <c r="K179" s="20">
        <v>0</v>
      </c>
      <c r="L179" s="20">
        <v>2253</v>
      </c>
      <c r="M179" s="20">
        <f t="shared" si="8"/>
        <v>2253</v>
      </c>
    </row>
    <row r="180" spans="2:13">
      <c r="B180" s="21" t="s">
        <v>75</v>
      </c>
      <c r="C180" s="21" t="s">
        <v>76</v>
      </c>
      <c r="D180" s="14" t="s">
        <v>249</v>
      </c>
      <c r="E180" s="20">
        <v>1</v>
      </c>
      <c r="F180" s="20">
        <v>0</v>
      </c>
      <c r="G180" s="20">
        <f t="shared" si="6"/>
        <v>1</v>
      </c>
      <c r="H180" s="20">
        <v>0</v>
      </c>
      <c r="I180" s="20">
        <v>0</v>
      </c>
      <c r="J180" s="20">
        <f t="shared" si="7"/>
        <v>0</v>
      </c>
      <c r="K180" s="20">
        <v>0</v>
      </c>
      <c r="L180" s="20">
        <v>0</v>
      </c>
      <c r="M180" s="20">
        <f t="shared" si="8"/>
        <v>0</v>
      </c>
    </row>
    <row r="181" spans="2:13">
      <c r="B181" s="22"/>
      <c r="C181" s="22"/>
      <c r="D181" s="14" t="s">
        <v>250</v>
      </c>
      <c r="E181" s="20">
        <v>2</v>
      </c>
      <c r="F181" s="20">
        <v>0</v>
      </c>
      <c r="G181" s="20">
        <f t="shared" si="6"/>
        <v>2</v>
      </c>
      <c r="H181" s="20">
        <v>0</v>
      </c>
      <c r="I181" s="20">
        <v>0</v>
      </c>
      <c r="J181" s="20">
        <f t="shared" si="7"/>
        <v>0</v>
      </c>
      <c r="K181" s="20">
        <v>0</v>
      </c>
      <c r="L181" s="20">
        <v>0</v>
      </c>
      <c r="M181" s="20">
        <f t="shared" si="8"/>
        <v>0</v>
      </c>
    </row>
    <row r="182" spans="2:13">
      <c r="B182" s="22"/>
      <c r="C182" s="23"/>
      <c r="D182" s="14" t="s">
        <v>251</v>
      </c>
      <c r="E182" s="20">
        <v>0</v>
      </c>
      <c r="F182" s="20">
        <v>20</v>
      </c>
      <c r="G182" s="20">
        <f t="shared" si="6"/>
        <v>20</v>
      </c>
      <c r="H182" s="20">
        <v>0</v>
      </c>
      <c r="I182" s="20">
        <v>0</v>
      </c>
      <c r="J182" s="20">
        <f t="shared" si="7"/>
        <v>0</v>
      </c>
      <c r="K182" s="20">
        <v>0</v>
      </c>
      <c r="L182" s="20">
        <v>0</v>
      </c>
      <c r="M182" s="20">
        <f t="shared" si="8"/>
        <v>0</v>
      </c>
    </row>
    <row r="183" spans="2:13">
      <c r="B183" s="22"/>
      <c r="C183" s="21" t="s">
        <v>77</v>
      </c>
      <c r="D183" s="14" t="s">
        <v>252</v>
      </c>
      <c r="E183" s="20">
        <v>0</v>
      </c>
      <c r="F183" s="20">
        <v>0</v>
      </c>
      <c r="G183" s="20">
        <f t="shared" si="6"/>
        <v>0</v>
      </c>
      <c r="H183" s="20">
        <v>618</v>
      </c>
      <c r="I183" s="20">
        <v>0</v>
      </c>
      <c r="J183" s="20">
        <f t="shared" si="7"/>
        <v>618</v>
      </c>
      <c r="K183" s="20">
        <v>0</v>
      </c>
      <c r="L183" s="20">
        <v>0</v>
      </c>
      <c r="M183" s="20">
        <f t="shared" si="8"/>
        <v>0</v>
      </c>
    </row>
    <row r="184" spans="2:13">
      <c r="B184" s="22"/>
      <c r="C184" s="22"/>
      <c r="D184" s="14" t="s">
        <v>253</v>
      </c>
      <c r="E184" s="20">
        <v>103</v>
      </c>
      <c r="F184" s="20">
        <v>0</v>
      </c>
      <c r="G184" s="20">
        <f t="shared" si="6"/>
        <v>103</v>
      </c>
      <c r="H184" s="20">
        <v>0</v>
      </c>
      <c r="I184" s="20">
        <v>0</v>
      </c>
      <c r="J184" s="20">
        <f t="shared" si="7"/>
        <v>0</v>
      </c>
      <c r="K184" s="20">
        <v>52</v>
      </c>
      <c r="L184" s="20">
        <v>0</v>
      </c>
      <c r="M184" s="20">
        <f t="shared" si="8"/>
        <v>52</v>
      </c>
    </row>
    <row r="185" spans="2:13">
      <c r="B185" s="22"/>
      <c r="C185" s="22"/>
      <c r="D185" s="14" t="s">
        <v>254</v>
      </c>
      <c r="E185" s="20">
        <v>50</v>
      </c>
      <c r="F185" s="20">
        <v>0</v>
      </c>
      <c r="G185" s="20">
        <f t="shared" si="6"/>
        <v>50</v>
      </c>
      <c r="H185" s="20">
        <v>0</v>
      </c>
      <c r="I185" s="20">
        <v>0</v>
      </c>
      <c r="J185" s="20">
        <f t="shared" si="7"/>
        <v>0</v>
      </c>
      <c r="K185" s="20">
        <v>0</v>
      </c>
      <c r="L185" s="20">
        <v>0</v>
      </c>
      <c r="M185" s="20">
        <f t="shared" si="8"/>
        <v>0</v>
      </c>
    </row>
    <row r="186" spans="2:13">
      <c r="B186" s="22"/>
      <c r="C186" s="22"/>
      <c r="D186" s="14" t="s">
        <v>255</v>
      </c>
      <c r="E186" s="20">
        <v>0</v>
      </c>
      <c r="F186" s="20">
        <v>0</v>
      </c>
      <c r="G186" s="20">
        <f t="shared" si="6"/>
        <v>0</v>
      </c>
      <c r="H186" s="20">
        <v>0</v>
      </c>
      <c r="I186" s="20">
        <v>0</v>
      </c>
      <c r="J186" s="20">
        <f t="shared" si="7"/>
        <v>0</v>
      </c>
      <c r="K186" s="20">
        <v>34</v>
      </c>
      <c r="L186" s="20">
        <v>0</v>
      </c>
      <c r="M186" s="20">
        <f t="shared" si="8"/>
        <v>34</v>
      </c>
    </row>
    <row r="187" spans="2:13">
      <c r="B187" s="22"/>
      <c r="C187" s="22"/>
      <c r="D187" s="14" t="s">
        <v>249</v>
      </c>
      <c r="E187" s="20">
        <v>6</v>
      </c>
      <c r="F187" s="20">
        <v>0</v>
      </c>
      <c r="G187" s="20">
        <f t="shared" si="6"/>
        <v>6</v>
      </c>
      <c r="H187" s="20">
        <v>0</v>
      </c>
      <c r="I187" s="20">
        <v>0</v>
      </c>
      <c r="J187" s="20">
        <f t="shared" si="7"/>
        <v>0</v>
      </c>
      <c r="K187" s="20">
        <v>0</v>
      </c>
      <c r="L187" s="20">
        <v>0</v>
      </c>
      <c r="M187" s="20">
        <f t="shared" si="8"/>
        <v>0</v>
      </c>
    </row>
    <row r="188" spans="2:13">
      <c r="B188" s="22"/>
      <c r="C188" s="23"/>
      <c r="D188" s="14" t="s">
        <v>250</v>
      </c>
      <c r="E188" s="20">
        <v>4</v>
      </c>
      <c r="F188" s="20">
        <v>0</v>
      </c>
      <c r="G188" s="20">
        <f t="shared" si="6"/>
        <v>4</v>
      </c>
      <c r="H188" s="20">
        <v>0</v>
      </c>
      <c r="I188" s="20">
        <v>0</v>
      </c>
      <c r="J188" s="20">
        <f t="shared" si="7"/>
        <v>0</v>
      </c>
      <c r="K188" s="20">
        <v>0</v>
      </c>
      <c r="L188" s="20">
        <v>0</v>
      </c>
      <c r="M188" s="20">
        <f t="shared" si="8"/>
        <v>0</v>
      </c>
    </row>
    <row r="189" spans="2:13">
      <c r="B189" s="22"/>
      <c r="C189" s="21" t="s">
        <v>78</v>
      </c>
      <c r="D189" s="14" t="s">
        <v>252</v>
      </c>
      <c r="E189" s="20">
        <v>0</v>
      </c>
      <c r="F189" s="20">
        <v>0</v>
      </c>
      <c r="G189" s="20">
        <f t="shared" si="6"/>
        <v>0</v>
      </c>
      <c r="H189" s="20">
        <v>2</v>
      </c>
      <c r="I189" s="20">
        <v>621</v>
      </c>
      <c r="J189" s="20">
        <f t="shared" si="7"/>
        <v>623</v>
      </c>
      <c r="K189" s="20">
        <v>0</v>
      </c>
      <c r="L189" s="20">
        <v>0</v>
      </c>
      <c r="M189" s="20">
        <f t="shared" si="8"/>
        <v>0</v>
      </c>
    </row>
    <row r="190" spans="2:13">
      <c r="B190" s="22"/>
      <c r="C190" s="22"/>
      <c r="D190" s="14" t="s">
        <v>253</v>
      </c>
      <c r="E190" s="20">
        <v>0</v>
      </c>
      <c r="F190" s="20">
        <v>80</v>
      </c>
      <c r="G190" s="20">
        <f t="shared" si="6"/>
        <v>80</v>
      </c>
      <c r="H190" s="20">
        <v>0</v>
      </c>
      <c r="I190" s="20">
        <v>0</v>
      </c>
      <c r="J190" s="20">
        <f t="shared" si="7"/>
        <v>0</v>
      </c>
      <c r="K190" s="20">
        <v>1</v>
      </c>
      <c r="L190" s="20">
        <v>568</v>
      </c>
      <c r="M190" s="20">
        <f t="shared" si="8"/>
        <v>569</v>
      </c>
    </row>
    <row r="191" spans="2:13">
      <c r="B191" s="22"/>
      <c r="C191" s="22"/>
      <c r="D191" s="14" t="s">
        <v>249</v>
      </c>
      <c r="E191" s="20">
        <v>0</v>
      </c>
      <c r="F191" s="20">
        <v>2</v>
      </c>
      <c r="G191" s="20">
        <f t="shared" si="6"/>
        <v>2</v>
      </c>
      <c r="H191" s="20">
        <v>0</v>
      </c>
      <c r="I191" s="20">
        <v>0</v>
      </c>
      <c r="J191" s="20">
        <f t="shared" si="7"/>
        <v>0</v>
      </c>
      <c r="K191" s="20">
        <v>0</v>
      </c>
      <c r="L191" s="20">
        <v>0</v>
      </c>
      <c r="M191" s="20">
        <f t="shared" si="8"/>
        <v>0</v>
      </c>
    </row>
    <row r="192" spans="2:13">
      <c r="B192" s="23"/>
      <c r="C192" s="23"/>
      <c r="D192" s="14" t="s">
        <v>251</v>
      </c>
      <c r="E192" s="20">
        <v>0</v>
      </c>
      <c r="F192" s="20">
        <v>19</v>
      </c>
      <c r="G192" s="20">
        <f t="shared" si="6"/>
        <v>19</v>
      </c>
      <c r="H192" s="20">
        <v>0</v>
      </c>
      <c r="I192" s="20">
        <v>0</v>
      </c>
      <c r="J192" s="20">
        <f t="shared" si="7"/>
        <v>0</v>
      </c>
      <c r="K192" s="20">
        <v>0</v>
      </c>
      <c r="L192" s="20">
        <v>0</v>
      </c>
      <c r="M192" s="20">
        <f t="shared" si="8"/>
        <v>0</v>
      </c>
    </row>
    <row r="193" spans="2:13">
      <c r="B193" s="21" t="s">
        <v>79</v>
      </c>
      <c r="C193" s="21" t="s">
        <v>80</v>
      </c>
      <c r="D193" s="14" t="s">
        <v>256</v>
      </c>
      <c r="E193" s="20">
        <v>1184</v>
      </c>
      <c r="F193" s="20">
        <v>0</v>
      </c>
      <c r="G193" s="20">
        <f t="shared" si="6"/>
        <v>1184</v>
      </c>
      <c r="H193" s="20">
        <v>0</v>
      </c>
      <c r="I193" s="20">
        <v>0</v>
      </c>
      <c r="J193" s="20">
        <f t="shared" si="7"/>
        <v>0</v>
      </c>
      <c r="K193" s="20">
        <v>0</v>
      </c>
      <c r="L193" s="20">
        <v>0</v>
      </c>
      <c r="M193" s="20">
        <f t="shared" si="8"/>
        <v>0</v>
      </c>
    </row>
    <row r="194" spans="2:13">
      <c r="B194" s="22"/>
      <c r="C194" s="22"/>
      <c r="D194" s="14" t="s">
        <v>257</v>
      </c>
      <c r="E194" s="20">
        <v>203</v>
      </c>
      <c r="F194" s="20">
        <v>0</v>
      </c>
      <c r="G194" s="20">
        <f t="shared" si="6"/>
        <v>203</v>
      </c>
      <c r="H194" s="20">
        <v>0</v>
      </c>
      <c r="I194" s="20">
        <v>0</v>
      </c>
      <c r="J194" s="20">
        <f t="shared" si="7"/>
        <v>0</v>
      </c>
      <c r="K194" s="20">
        <v>0</v>
      </c>
      <c r="L194" s="20">
        <v>0</v>
      </c>
      <c r="M194" s="20">
        <f t="shared" si="8"/>
        <v>0</v>
      </c>
    </row>
    <row r="195" spans="2:13">
      <c r="B195" s="22"/>
      <c r="C195" s="22"/>
      <c r="D195" s="14" t="s">
        <v>258</v>
      </c>
      <c r="E195" s="20">
        <v>177</v>
      </c>
      <c r="F195" s="20">
        <v>0</v>
      </c>
      <c r="G195" s="20">
        <f t="shared" si="6"/>
        <v>177</v>
      </c>
      <c r="H195" s="20">
        <v>0</v>
      </c>
      <c r="I195" s="20">
        <v>0</v>
      </c>
      <c r="J195" s="20">
        <f t="shared" si="7"/>
        <v>0</v>
      </c>
      <c r="K195" s="20">
        <v>0</v>
      </c>
      <c r="L195" s="20">
        <v>0</v>
      </c>
      <c r="M195" s="20">
        <f t="shared" si="8"/>
        <v>0</v>
      </c>
    </row>
    <row r="196" spans="2:13">
      <c r="B196" s="22"/>
      <c r="C196" s="22"/>
      <c r="D196" s="14" t="s">
        <v>259</v>
      </c>
      <c r="E196" s="20">
        <v>0</v>
      </c>
      <c r="F196" s="20">
        <v>0</v>
      </c>
      <c r="G196" s="20">
        <f t="shared" si="6"/>
        <v>0</v>
      </c>
      <c r="H196" s="20">
        <v>0</v>
      </c>
      <c r="I196" s="20">
        <v>2626</v>
      </c>
      <c r="J196" s="20">
        <f t="shared" si="7"/>
        <v>2626</v>
      </c>
      <c r="K196" s="20">
        <v>0</v>
      </c>
      <c r="L196" s="20">
        <v>0</v>
      </c>
      <c r="M196" s="20">
        <f t="shared" si="8"/>
        <v>0</v>
      </c>
    </row>
    <row r="197" spans="2:13">
      <c r="B197" s="22"/>
      <c r="C197" s="22"/>
      <c r="D197" s="14" t="s">
        <v>260</v>
      </c>
      <c r="E197" s="20">
        <v>0</v>
      </c>
      <c r="F197" s="20">
        <v>0</v>
      </c>
      <c r="G197" s="20">
        <f t="shared" si="6"/>
        <v>0</v>
      </c>
      <c r="H197" s="20">
        <v>0</v>
      </c>
      <c r="I197" s="20">
        <v>3600</v>
      </c>
      <c r="J197" s="20">
        <f t="shared" si="7"/>
        <v>3600</v>
      </c>
      <c r="K197" s="20">
        <v>0</v>
      </c>
      <c r="L197" s="20">
        <v>0</v>
      </c>
      <c r="M197" s="20">
        <f t="shared" si="8"/>
        <v>0</v>
      </c>
    </row>
    <row r="198" spans="2:13">
      <c r="B198" s="22"/>
      <c r="C198" s="23"/>
      <c r="D198" s="14" t="s">
        <v>261</v>
      </c>
      <c r="E198" s="20">
        <v>0</v>
      </c>
      <c r="F198" s="20">
        <v>0</v>
      </c>
      <c r="G198" s="20">
        <f t="shared" ref="G198:G261" si="9">SUM(E198:F198)</f>
        <v>0</v>
      </c>
      <c r="H198" s="20">
        <v>0</v>
      </c>
      <c r="I198" s="20">
        <v>672</v>
      </c>
      <c r="J198" s="20">
        <f t="shared" ref="J198:J261" si="10">SUM(H198:I198)</f>
        <v>672</v>
      </c>
      <c r="K198" s="20">
        <v>0</v>
      </c>
      <c r="L198" s="20">
        <v>0</v>
      </c>
      <c r="M198" s="20">
        <f t="shared" ref="M198:M261" si="11">SUM(K198:L198)</f>
        <v>0</v>
      </c>
    </row>
    <row r="199" spans="2:13">
      <c r="B199" s="22"/>
      <c r="C199" s="21" t="s">
        <v>81</v>
      </c>
      <c r="D199" s="14" t="s">
        <v>262</v>
      </c>
      <c r="E199" s="20">
        <v>189</v>
      </c>
      <c r="F199" s="20">
        <v>0</v>
      </c>
      <c r="G199" s="20">
        <f t="shared" si="9"/>
        <v>189</v>
      </c>
      <c r="H199" s="20">
        <v>0</v>
      </c>
      <c r="I199" s="20">
        <v>0</v>
      </c>
      <c r="J199" s="20">
        <f t="shared" si="10"/>
        <v>0</v>
      </c>
      <c r="K199" s="20">
        <v>0</v>
      </c>
      <c r="L199" s="20">
        <v>0</v>
      </c>
      <c r="M199" s="20">
        <f t="shared" si="11"/>
        <v>0</v>
      </c>
    </row>
    <row r="200" spans="2:13">
      <c r="B200" s="22"/>
      <c r="C200" s="22"/>
      <c r="D200" s="14" t="s">
        <v>263</v>
      </c>
      <c r="E200" s="20">
        <v>299</v>
      </c>
      <c r="F200" s="20">
        <v>0</v>
      </c>
      <c r="G200" s="20">
        <f t="shared" si="9"/>
        <v>299</v>
      </c>
      <c r="H200" s="20">
        <v>0</v>
      </c>
      <c r="I200" s="20">
        <v>0</v>
      </c>
      <c r="J200" s="20">
        <f t="shared" si="10"/>
        <v>0</v>
      </c>
      <c r="K200" s="20">
        <v>0</v>
      </c>
      <c r="L200" s="20">
        <v>0</v>
      </c>
      <c r="M200" s="20">
        <f t="shared" si="11"/>
        <v>0</v>
      </c>
    </row>
    <row r="201" spans="2:13">
      <c r="B201" s="22"/>
      <c r="C201" s="22"/>
      <c r="D201" s="14" t="s">
        <v>264</v>
      </c>
      <c r="E201" s="20">
        <v>366</v>
      </c>
      <c r="F201" s="20">
        <v>0</v>
      </c>
      <c r="G201" s="20">
        <f t="shared" si="9"/>
        <v>366</v>
      </c>
      <c r="H201" s="20">
        <v>0</v>
      </c>
      <c r="I201" s="20">
        <v>0</v>
      </c>
      <c r="J201" s="20">
        <f t="shared" si="10"/>
        <v>0</v>
      </c>
      <c r="K201" s="20">
        <v>0</v>
      </c>
      <c r="L201" s="20">
        <v>0</v>
      </c>
      <c r="M201" s="20">
        <f t="shared" si="11"/>
        <v>0</v>
      </c>
    </row>
    <row r="202" spans="2:13">
      <c r="B202" s="22"/>
      <c r="C202" s="22"/>
      <c r="D202" s="14" t="s">
        <v>265</v>
      </c>
      <c r="E202" s="20">
        <v>20</v>
      </c>
      <c r="F202" s="20">
        <v>0</v>
      </c>
      <c r="G202" s="20">
        <f t="shared" si="9"/>
        <v>20</v>
      </c>
      <c r="H202" s="20">
        <v>0</v>
      </c>
      <c r="I202" s="20">
        <v>0</v>
      </c>
      <c r="J202" s="20">
        <f t="shared" si="10"/>
        <v>0</v>
      </c>
      <c r="K202" s="20">
        <v>4</v>
      </c>
      <c r="L202" s="20">
        <v>0</v>
      </c>
      <c r="M202" s="20">
        <f t="shared" si="11"/>
        <v>4</v>
      </c>
    </row>
    <row r="203" spans="2:13">
      <c r="B203" s="22"/>
      <c r="C203" s="22"/>
      <c r="D203" s="14" t="s">
        <v>266</v>
      </c>
      <c r="E203" s="20">
        <v>0</v>
      </c>
      <c r="F203" s="20">
        <v>0</v>
      </c>
      <c r="G203" s="20">
        <f t="shared" si="9"/>
        <v>0</v>
      </c>
      <c r="H203" s="20">
        <v>0</v>
      </c>
      <c r="I203" s="20">
        <v>982</v>
      </c>
      <c r="J203" s="20">
        <f t="shared" si="10"/>
        <v>982</v>
      </c>
      <c r="K203" s="20">
        <v>0</v>
      </c>
      <c r="L203" s="20">
        <v>0</v>
      </c>
      <c r="M203" s="20">
        <f t="shared" si="11"/>
        <v>0</v>
      </c>
    </row>
    <row r="204" spans="2:13">
      <c r="B204" s="22"/>
      <c r="C204" s="22"/>
      <c r="D204" s="14" t="s">
        <v>267</v>
      </c>
      <c r="E204" s="20">
        <v>0</v>
      </c>
      <c r="F204" s="20">
        <v>0</v>
      </c>
      <c r="G204" s="20">
        <f t="shared" si="9"/>
        <v>0</v>
      </c>
      <c r="H204" s="20">
        <v>0</v>
      </c>
      <c r="I204" s="20">
        <v>18714</v>
      </c>
      <c r="J204" s="20">
        <f t="shared" si="10"/>
        <v>18714</v>
      </c>
      <c r="K204" s="20">
        <v>0</v>
      </c>
      <c r="L204" s="20">
        <v>0</v>
      </c>
      <c r="M204" s="20">
        <f t="shared" si="11"/>
        <v>0</v>
      </c>
    </row>
    <row r="205" spans="2:13">
      <c r="B205" s="22"/>
      <c r="C205" s="22"/>
      <c r="D205" s="14" t="s">
        <v>268</v>
      </c>
      <c r="E205" s="20">
        <v>0</v>
      </c>
      <c r="F205" s="20">
        <v>0</v>
      </c>
      <c r="G205" s="20">
        <f t="shared" si="9"/>
        <v>0</v>
      </c>
      <c r="H205" s="20">
        <v>0</v>
      </c>
      <c r="I205" s="20">
        <v>2068</v>
      </c>
      <c r="J205" s="20">
        <f t="shared" si="10"/>
        <v>2068</v>
      </c>
      <c r="K205" s="20">
        <v>0</v>
      </c>
      <c r="L205" s="20">
        <v>0</v>
      </c>
      <c r="M205" s="20">
        <f t="shared" si="11"/>
        <v>0</v>
      </c>
    </row>
    <row r="206" spans="2:13">
      <c r="B206" s="23"/>
      <c r="C206" s="23"/>
      <c r="D206" s="14" t="s">
        <v>269</v>
      </c>
      <c r="E206" s="20">
        <v>0</v>
      </c>
      <c r="F206" s="20">
        <v>0</v>
      </c>
      <c r="G206" s="20">
        <f t="shared" si="9"/>
        <v>0</v>
      </c>
      <c r="H206" s="20">
        <v>0</v>
      </c>
      <c r="I206" s="20">
        <v>804</v>
      </c>
      <c r="J206" s="20">
        <f t="shared" si="10"/>
        <v>804</v>
      </c>
      <c r="K206" s="20">
        <v>0</v>
      </c>
      <c r="L206" s="20">
        <v>0</v>
      </c>
      <c r="M206" s="20">
        <f t="shared" si="11"/>
        <v>0</v>
      </c>
    </row>
    <row r="207" spans="2:13">
      <c r="B207" s="21" t="s">
        <v>82</v>
      </c>
      <c r="C207" s="21" t="s">
        <v>83</v>
      </c>
      <c r="D207" s="14" t="s">
        <v>270</v>
      </c>
      <c r="E207" s="20">
        <v>2500</v>
      </c>
      <c r="F207" s="20">
        <v>2448</v>
      </c>
      <c r="G207" s="20">
        <f t="shared" si="9"/>
        <v>4948</v>
      </c>
      <c r="H207" s="20">
        <v>0</v>
      </c>
      <c r="I207" s="20">
        <v>0</v>
      </c>
      <c r="J207" s="20">
        <f t="shared" si="10"/>
        <v>0</v>
      </c>
      <c r="K207" s="20">
        <v>0</v>
      </c>
      <c r="L207" s="20">
        <v>0</v>
      </c>
      <c r="M207" s="20">
        <f t="shared" si="11"/>
        <v>0</v>
      </c>
    </row>
    <row r="208" spans="2:13">
      <c r="B208" s="22"/>
      <c r="C208" s="22"/>
      <c r="D208" s="14" t="s">
        <v>271</v>
      </c>
      <c r="E208" s="20">
        <v>2500</v>
      </c>
      <c r="F208" s="20">
        <v>2491</v>
      </c>
      <c r="G208" s="20">
        <f t="shared" si="9"/>
        <v>4991</v>
      </c>
      <c r="H208" s="20">
        <v>0</v>
      </c>
      <c r="I208" s="20">
        <v>0</v>
      </c>
      <c r="J208" s="20">
        <f t="shared" si="10"/>
        <v>0</v>
      </c>
      <c r="K208" s="20">
        <v>0</v>
      </c>
      <c r="L208" s="20">
        <v>0</v>
      </c>
      <c r="M208" s="20">
        <f t="shared" si="11"/>
        <v>0</v>
      </c>
    </row>
    <row r="209" spans="2:13">
      <c r="B209" s="22"/>
      <c r="C209" s="22"/>
      <c r="D209" s="14" t="s">
        <v>272</v>
      </c>
      <c r="E209" s="20">
        <v>0</v>
      </c>
      <c r="F209" s="20">
        <v>0</v>
      </c>
      <c r="G209" s="20">
        <f t="shared" si="9"/>
        <v>0</v>
      </c>
      <c r="H209" s="20">
        <v>16</v>
      </c>
      <c r="I209" s="20">
        <v>4680</v>
      </c>
      <c r="J209" s="20">
        <f t="shared" si="10"/>
        <v>4696</v>
      </c>
      <c r="K209" s="20">
        <v>0</v>
      </c>
      <c r="L209" s="20">
        <v>0</v>
      </c>
      <c r="M209" s="20">
        <f t="shared" si="11"/>
        <v>0</v>
      </c>
    </row>
    <row r="210" spans="2:13">
      <c r="B210" s="22"/>
      <c r="C210" s="23"/>
      <c r="D210" s="14" t="s">
        <v>273</v>
      </c>
      <c r="E210" s="20">
        <v>0</v>
      </c>
      <c r="F210" s="20">
        <v>0</v>
      </c>
      <c r="G210" s="20">
        <f t="shared" si="9"/>
        <v>0</v>
      </c>
      <c r="H210" s="20">
        <v>4911</v>
      </c>
      <c r="I210" s="20">
        <v>16</v>
      </c>
      <c r="J210" s="20">
        <f t="shared" si="10"/>
        <v>4927</v>
      </c>
      <c r="K210" s="20">
        <v>0</v>
      </c>
      <c r="L210" s="20">
        <v>0</v>
      </c>
      <c r="M210" s="20">
        <f t="shared" si="11"/>
        <v>0</v>
      </c>
    </row>
    <row r="211" spans="2:13">
      <c r="B211" s="22"/>
      <c r="C211" s="21" t="s">
        <v>84</v>
      </c>
      <c r="D211" s="14" t="s">
        <v>274</v>
      </c>
      <c r="E211" s="20">
        <v>726</v>
      </c>
      <c r="F211" s="20">
        <v>71</v>
      </c>
      <c r="G211" s="20">
        <f t="shared" si="9"/>
        <v>797</v>
      </c>
      <c r="H211" s="20">
        <v>0</v>
      </c>
      <c r="I211" s="20">
        <v>0</v>
      </c>
      <c r="J211" s="20">
        <f t="shared" si="10"/>
        <v>0</v>
      </c>
      <c r="K211" s="20">
        <v>0</v>
      </c>
      <c r="L211" s="20">
        <v>0</v>
      </c>
      <c r="M211" s="20">
        <f t="shared" si="11"/>
        <v>0</v>
      </c>
    </row>
    <row r="212" spans="2:13">
      <c r="B212" s="22"/>
      <c r="C212" s="22"/>
      <c r="D212" s="14" t="s">
        <v>275</v>
      </c>
      <c r="E212" s="20">
        <v>28501</v>
      </c>
      <c r="F212" s="20">
        <v>2932</v>
      </c>
      <c r="G212" s="20">
        <f t="shared" si="9"/>
        <v>31433</v>
      </c>
      <c r="H212" s="20">
        <v>0</v>
      </c>
      <c r="I212" s="20">
        <v>0</v>
      </c>
      <c r="J212" s="20">
        <f t="shared" si="10"/>
        <v>0</v>
      </c>
      <c r="K212" s="20">
        <v>0</v>
      </c>
      <c r="L212" s="20">
        <v>0</v>
      </c>
      <c r="M212" s="20">
        <f t="shared" si="11"/>
        <v>0</v>
      </c>
    </row>
    <row r="213" spans="2:13">
      <c r="B213" s="22"/>
      <c r="C213" s="22"/>
      <c r="D213" s="14" t="s">
        <v>276</v>
      </c>
      <c r="E213" s="20">
        <v>775</v>
      </c>
      <c r="F213" s="20">
        <v>78</v>
      </c>
      <c r="G213" s="20">
        <f t="shared" si="9"/>
        <v>853</v>
      </c>
      <c r="H213" s="20">
        <v>0</v>
      </c>
      <c r="I213" s="20">
        <v>0</v>
      </c>
      <c r="J213" s="20">
        <f t="shared" si="10"/>
        <v>0</v>
      </c>
      <c r="K213" s="20">
        <v>0</v>
      </c>
      <c r="L213" s="20">
        <v>0</v>
      </c>
      <c r="M213" s="20">
        <f t="shared" si="11"/>
        <v>0</v>
      </c>
    </row>
    <row r="214" spans="2:13">
      <c r="B214" s="22"/>
      <c r="C214" s="22"/>
      <c r="D214" s="14" t="s">
        <v>277</v>
      </c>
      <c r="E214" s="20">
        <v>20</v>
      </c>
      <c r="F214" s="20">
        <v>0</v>
      </c>
      <c r="G214" s="20">
        <f t="shared" si="9"/>
        <v>20</v>
      </c>
      <c r="H214" s="20">
        <v>0</v>
      </c>
      <c r="I214" s="20">
        <v>0</v>
      </c>
      <c r="J214" s="20">
        <f t="shared" si="10"/>
        <v>0</v>
      </c>
      <c r="K214" s="20">
        <v>0</v>
      </c>
      <c r="L214" s="20">
        <v>0</v>
      </c>
      <c r="M214" s="20">
        <f t="shared" si="11"/>
        <v>0</v>
      </c>
    </row>
    <row r="215" spans="2:13">
      <c r="B215" s="22"/>
      <c r="C215" s="22"/>
      <c r="D215" s="14" t="s">
        <v>278</v>
      </c>
      <c r="E215" s="20">
        <v>0</v>
      </c>
      <c r="F215" s="20">
        <v>0</v>
      </c>
      <c r="G215" s="20">
        <f t="shared" si="9"/>
        <v>0</v>
      </c>
      <c r="H215" s="20">
        <v>8</v>
      </c>
      <c r="I215" s="20">
        <v>19992</v>
      </c>
      <c r="J215" s="20">
        <f t="shared" si="10"/>
        <v>20000</v>
      </c>
      <c r="K215" s="20">
        <v>0</v>
      </c>
      <c r="L215" s="20">
        <v>0</v>
      </c>
      <c r="M215" s="20">
        <f t="shared" si="11"/>
        <v>0</v>
      </c>
    </row>
    <row r="216" spans="2:13">
      <c r="B216" s="22"/>
      <c r="C216" s="22"/>
      <c r="D216" s="14" t="s">
        <v>279</v>
      </c>
      <c r="E216" s="20">
        <v>0</v>
      </c>
      <c r="F216" s="20">
        <v>0</v>
      </c>
      <c r="G216" s="20">
        <f t="shared" si="9"/>
        <v>0</v>
      </c>
      <c r="H216" s="20">
        <v>2</v>
      </c>
      <c r="I216" s="20">
        <v>2258</v>
      </c>
      <c r="J216" s="20">
        <f t="shared" si="10"/>
        <v>2260</v>
      </c>
      <c r="K216" s="20">
        <v>0</v>
      </c>
      <c r="L216" s="20">
        <v>0</v>
      </c>
      <c r="M216" s="20">
        <f t="shared" si="11"/>
        <v>0</v>
      </c>
    </row>
    <row r="217" spans="2:13">
      <c r="B217" s="22"/>
      <c r="C217" s="22"/>
      <c r="D217" s="14" t="s">
        <v>280</v>
      </c>
      <c r="E217" s="20">
        <v>0</v>
      </c>
      <c r="F217" s="20">
        <v>0</v>
      </c>
      <c r="G217" s="20">
        <f t="shared" si="9"/>
        <v>0</v>
      </c>
      <c r="H217" s="20">
        <v>1</v>
      </c>
      <c r="I217" s="20">
        <v>49</v>
      </c>
      <c r="J217" s="20">
        <f t="shared" si="10"/>
        <v>50</v>
      </c>
      <c r="K217" s="20">
        <v>0</v>
      </c>
      <c r="L217" s="20">
        <v>0</v>
      </c>
      <c r="M217" s="20">
        <f t="shared" si="11"/>
        <v>0</v>
      </c>
    </row>
    <row r="218" spans="2:13">
      <c r="B218" s="22"/>
      <c r="C218" s="22"/>
      <c r="D218" s="14" t="s">
        <v>281</v>
      </c>
      <c r="E218" s="20">
        <v>0</v>
      </c>
      <c r="F218" s="20">
        <v>0</v>
      </c>
      <c r="G218" s="20">
        <f t="shared" si="9"/>
        <v>0</v>
      </c>
      <c r="H218" s="20">
        <v>50</v>
      </c>
      <c r="I218" s="20">
        <v>0</v>
      </c>
      <c r="J218" s="20">
        <f t="shared" si="10"/>
        <v>50</v>
      </c>
      <c r="K218" s="20">
        <v>0</v>
      </c>
      <c r="L218" s="20">
        <v>0</v>
      </c>
      <c r="M218" s="20">
        <f t="shared" si="11"/>
        <v>0</v>
      </c>
    </row>
    <row r="219" spans="2:13">
      <c r="B219" s="22"/>
      <c r="C219" s="22"/>
      <c r="D219" s="14" t="s">
        <v>282</v>
      </c>
      <c r="E219" s="20">
        <v>0</v>
      </c>
      <c r="F219" s="20">
        <v>0</v>
      </c>
      <c r="G219" s="20">
        <f t="shared" si="9"/>
        <v>0</v>
      </c>
      <c r="H219" s="20">
        <v>346</v>
      </c>
      <c r="I219" s="20">
        <v>49654</v>
      </c>
      <c r="J219" s="20">
        <f t="shared" si="10"/>
        <v>50000</v>
      </c>
      <c r="K219" s="20">
        <v>0</v>
      </c>
      <c r="L219" s="20">
        <v>0</v>
      </c>
      <c r="M219" s="20">
        <f t="shared" si="11"/>
        <v>0</v>
      </c>
    </row>
    <row r="220" spans="2:13">
      <c r="B220" s="22"/>
      <c r="C220" s="22"/>
      <c r="D220" s="14" t="s">
        <v>283</v>
      </c>
      <c r="E220" s="20">
        <v>0</v>
      </c>
      <c r="F220" s="20">
        <v>0</v>
      </c>
      <c r="G220" s="20">
        <f t="shared" si="9"/>
        <v>0</v>
      </c>
      <c r="H220" s="20">
        <v>3</v>
      </c>
      <c r="I220" s="20">
        <v>27743</v>
      </c>
      <c r="J220" s="20">
        <f t="shared" si="10"/>
        <v>27746</v>
      </c>
      <c r="K220" s="20">
        <v>0</v>
      </c>
      <c r="L220" s="20">
        <v>0</v>
      </c>
      <c r="M220" s="20">
        <f t="shared" si="11"/>
        <v>0</v>
      </c>
    </row>
    <row r="221" spans="2:13">
      <c r="B221" s="22"/>
      <c r="C221" s="22"/>
      <c r="D221" s="14" t="s">
        <v>284</v>
      </c>
      <c r="E221" s="20">
        <v>0</v>
      </c>
      <c r="F221" s="20">
        <v>0</v>
      </c>
      <c r="G221" s="20">
        <f t="shared" si="9"/>
        <v>0</v>
      </c>
      <c r="H221" s="20">
        <v>6</v>
      </c>
      <c r="I221" s="20">
        <v>726</v>
      </c>
      <c r="J221" s="20">
        <f t="shared" si="10"/>
        <v>732</v>
      </c>
      <c r="K221" s="20">
        <v>0</v>
      </c>
      <c r="L221" s="20">
        <v>0</v>
      </c>
      <c r="M221" s="20">
        <f t="shared" si="11"/>
        <v>0</v>
      </c>
    </row>
    <row r="222" spans="2:13">
      <c r="B222" s="22"/>
      <c r="C222" s="22"/>
      <c r="D222" s="14" t="s">
        <v>285</v>
      </c>
      <c r="E222" s="20">
        <v>0</v>
      </c>
      <c r="F222" s="20">
        <v>0</v>
      </c>
      <c r="G222" s="20">
        <f t="shared" si="9"/>
        <v>0</v>
      </c>
      <c r="H222" s="20">
        <v>4</v>
      </c>
      <c r="I222" s="20">
        <v>1547</v>
      </c>
      <c r="J222" s="20">
        <f t="shared" si="10"/>
        <v>1551</v>
      </c>
      <c r="K222" s="20">
        <v>0</v>
      </c>
      <c r="L222" s="20">
        <v>0</v>
      </c>
      <c r="M222" s="20">
        <f t="shared" si="11"/>
        <v>0</v>
      </c>
    </row>
    <row r="223" spans="2:13">
      <c r="B223" s="22"/>
      <c r="C223" s="22"/>
      <c r="D223" s="14" t="s">
        <v>286</v>
      </c>
      <c r="E223" s="20">
        <v>0</v>
      </c>
      <c r="F223" s="20">
        <v>0</v>
      </c>
      <c r="G223" s="20">
        <f t="shared" si="9"/>
        <v>0</v>
      </c>
      <c r="H223" s="20">
        <v>2</v>
      </c>
      <c r="I223" s="20">
        <v>12079</v>
      </c>
      <c r="J223" s="20">
        <f t="shared" si="10"/>
        <v>12081</v>
      </c>
      <c r="K223" s="20">
        <v>0</v>
      </c>
      <c r="L223" s="20">
        <v>0</v>
      </c>
      <c r="M223" s="20">
        <f t="shared" si="11"/>
        <v>0</v>
      </c>
    </row>
    <row r="224" spans="2:13">
      <c r="B224" s="22"/>
      <c r="C224" s="23"/>
      <c r="D224" s="14" t="s">
        <v>287</v>
      </c>
      <c r="E224" s="20">
        <v>0</v>
      </c>
      <c r="F224" s="20">
        <v>0</v>
      </c>
      <c r="G224" s="20">
        <f t="shared" si="9"/>
        <v>0</v>
      </c>
      <c r="H224" s="20">
        <v>6650</v>
      </c>
      <c r="I224" s="20">
        <v>127</v>
      </c>
      <c r="J224" s="20">
        <f t="shared" si="10"/>
        <v>6777</v>
      </c>
      <c r="K224" s="20">
        <v>0</v>
      </c>
      <c r="L224" s="20">
        <v>0</v>
      </c>
      <c r="M224" s="20">
        <f t="shared" si="11"/>
        <v>0</v>
      </c>
    </row>
    <row r="225" spans="2:13">
      <c r="B225" s="23"/>
      <c r="C225" s="14" t="s">
        <v>85</v>
      </c>
      <c r="D225" s="14" t="s">
        <v>288</v>
      </c>
      <c r="E225" s="20">
        <v>0</v>
      </c>
      <c r="F225" s="20">
        <v>0</v>
      </c>
      <c r="G225" s="20">
        <f t="shared" si="9"/>
        <v>0</v>
      </c>
      <c r="H225" s="20">
        <v>0</v>
      </c>
      <c r="I225" s="20">
        <v>4944</v>
      </c>
      <c r="J225" s="20">
        <f t="shared" si="10"/>
        <v>4944</v>
      </c>
      <c r="K225" s="20">
        <v>0</v>
      </c>
      <c r="L225" s="20">
        <v>0</v>
      </c>
      <c r="M225" s="20">
        <f t="shared" si="11"/>
        <v>0</v>
      </c>
    </row>
    <row r="226" spans="2:13">
      <c r="B226" s="21" t="s">
        <v>86</v>
      </c>
      <c r="C226" s="21" t="s">
        <v>87</v>
      </c>
      <c r="D226" s="14" t="s">
        <v>289</v>
      </c>
      <c r="E226" s="20">
        <v>29</v>
      </c>
      <c r="F226" s="20">
        <v>0</v>
      </c>
      <c r="G226" s="20">
        <f t="shared" si="9"/>
        <v>29</v>
      </c>
      <c r="H226" s="20">
        <v>0</v>
      </c>
      <c r="I226" s="20">
        <v>0</v>
      </c>
      <c r="J226" s="20">
        <f t="shared" si="10"/>
        <v>0</v>
      </c>
      <c r="K226" s="20">
        <v>12</v>
      </c>
      <c r="L226" s="20">
        <v>0</v>
      </c>
      <c r="M226" s="20">
        <f t="shared" si="11"/>
        <v>12</v>
      </c>
    </row>
    <row r="227" spans="2:13">
      <c r="B227" s="22"/>
      <c r="C227" s="22"/>
      <c r="D227" s="14" t="s">
        <v>290</v>
      </c>
      <c r="E227" s="20">
        <v>0</v>
      </c>
      <c r="F227" s="20">
        <v>0</v>
      </c>
      <c r="G227" s="20">
        <f t="shared" si="9"/>
        <v>0</v>
      </c>
      <c r="H227" s="20">
        <v>6395</v>
      </c>
      <c r="I227" s="20">
        <v>28</v>
      </c>
      <c r="J227" s="20">
        <f t="shared" si="10"/>
        <v>6423</v>
      </c>
      <c r="K227" s="20">
        <v>0</v>
      </c>
      <c r="L227" s="20">
        <v>0</v>
      </c>
      <c r="M227" s="20">
        <f t="shared" si="11"/>
        <v>0</v>
      </c>
    </row>
    <row r="228" spans="2:13">
      <c r="B228" s="22"/>
      <c r="C228" s="22"/>
      <c r="D228" s="14" t="s">
        <v>291</v>
      </c>
      <c r="E228" s="20">
        <v>0</v>
      </c>
      <c r="F228" s="20">
        <v>0</v>
      </c>
      <c r="G228" s="20">
        <f t="shared" si="9"/>
        <v>0</v>
      </c>
      <c r="H228" s="20">
        <v>0</v>
      </c>
      <c r="I228" s="20">
        <v>32717</v>
      </c>
      <c r="J228" s="20">
        <f t="shared" si="10"/>
        <v>32717</v>
      </c>
      <c r="K228" s="20">
        <v>0</v>
      </c>
      <c r="L228" s="20">
        <v>0</v>
      </c>
      <c r="M228" s="20">
        <f t="shared" si="11"/>
        <v>0</v>
      </c>
    </row>
    <row r="229" spans="2:13">
      <c r="B229" s="22"/>
      <c r="C229" s="23"/>
      <c r="D229" s="14" t="s">
        <v>292</v>
      </c>
      <c r="E229" s="20">
        <v>0</v>
      </c>
      <c r="F229" s="20">
        <v>0</v>
      </c>
      <c r="G229" s="20">
        <f t="shared" si="9"/>
        <v>0</v>
      </c>
      <c r="H229" s="20">
        <v>0</v>
      </c>
      <c r="I229" s="20">
        <v>22</v>
      </c>
      <c r="J229" s="20">
        <f t="shared" si="10"/>
        <v>22</v>
      </c>
      <c r="K229" s="20">
        <v>0</v>
      </c>
      <c r="L229" s="20">
        <v>0</v>
      </c>
      <c r="M229" s="20">
        <f t="shared" si="11"/>
        <v>0</v>
      </c>
    </row>
    <row r="230" spans="2:13">
      <c r="B230" s="22"/>
      <c r="C230" s="21" t="s">
        <v>88</v>
      </c>
      <c r="D230" s="14" t="s">
        <v>293</v>
      </c>
      <c r="E230" s="20">
        <v>2165</v>
      </c>
      <c r="F230" s="20">
        <v>1</v>
      </c>
      <c r="G230" s="20">
        <f t="shared" si="9"/>
        <v>2166</v>
      </c>
      <c r="H230" s="20">
        <v>0</v>
      </c>
      <c r="I230" s="20">
        <v>0</v>
      </c>
      <c r="J230" s="20">
        <f t="shared" si="10"/>
        <v>0</v>
      </c>
      <c r="K230" s="20">
        <v>268</v>
      </c>
      <c r="L230" s="20">
        <v>0</v>
      </c>
      <c r="M230" s="20">
        <f t="shared" si="11"/>
        <v>268</v>
      </c>
    </row>
    <row r="231" spans="2:13">
      <c r="B231" s="22"/>
      <c r="C231" s="22"/>
      <c r="D231" s="14" t="s">
        <v>238</v>
      </c>
      <c r="E231" s="20">
        <v>247</v>
      </c>
      <c r="F231" s="20">
        <v>20</v>
      </c>
      <c r="G231" s="20">
        <f t="shared" si="9"/>
        <v>267</v>
      </c>
      <c r="H231" s="20">
        <v>0</v>
      </c>
      <c r="I231" s="20">
        <v>0</v>
      </c>
      <c r="J231" s="20">
        <f t="shared" si="10"/>
        <v>0</v>
      </c>
      <c r="K231" s="20">
        <v>200</v>
      </c>
      <c r="L231" s="20">
        <v>2</v>
      </c>
      <c r="M231" s="20">
        <f t="shared" si="11"/>
        <v>202</v>
      </c>
    </row>
    <row r="232" spans="2:13">
      <c r="B232" s="22"/>
      <c r="C232" s="22"/>
      <c r="D232" s="14" t="s">
        <v>294</v>
      </c>
      <c r="E232" s="20">
        <v>100</v>
      </c>
      <c r="F232" s="20">
        <v>0</v>
      </c>
      <c r="G232" s="20">
        <f t="shared" si="9"/>
        <v>100</v>
      </c>
      <c r="H232" s="20">
        <v>0</v>
      </c>
      <c r="I232" s="20">
        <v>0</v>
      </c>
      <c r="J232" s="20">
        <f t="shared" si="10"/>
        <v>0</v>
      </c>
      <c r="K232" s="20">
        <v>0</v>
      </c>
      <c r="L232" s="20">
        <v>0</v>
      </c>
      <c r="M232" s="20">
        <f t="shared" si="11"/>
        <v>0</v>
      </c>
    </row>
    <row r="233" spans="2:13">
      <c r="B233" s="22"/>
      <c r="C233" s="22"/>
      <c r="D233" s="14" t="s">
        <v>295</v>
      </c>
      <c r="E233" s="20">
        <v>33</v>
      </c>
      <c r="F233" s="20">
        <v>67</v>
      </c>
      <c r="G233" s="20">
        <f t="shared" si="9"/>
        <v>100</v>
      </c>
      <c r="H233" s="20">
        <v>0</v>
      </c>
      <c r="I233" s="20">
        <v>0</v>
      </c>
      <c r="J233" s="20">
        <f t="shared" si="10"/>
        <v>0</v>
      </c>
      <c r="K233" s="20">
        <v>0</v>
      </c>
      <c r="L233" s="20">
        <v>0</v>
      </c>
      <c r="M233" s="20">
        <f t="shared" si="11"/>
        <v>0</v>
      </c>
    </row>
    <row r="234" spans="2:13">
      <c r="B234" s="22"/>
      <c r="C234" s="22"/>
      <c r="D234" s="14" t="s">
        <v>296</v>
      </c>
      <c r="E234" s="20">
        <v>56</v>
      </c>
      <c r="F234" s="20">
        <v>0</v>
      </c>
      <c r="G234" s="20">
        <f t="shared" si="9"/>
        <v>56</v>
      </c>
      <c r="H234" s="20">
        <v>0</v>
      </c>
      <c r="I234" s="20">
        <v>0</v>
      </c>
      <c r="J234" s="20">
        <f t="shared" si="10"/>
        <v>0</v>
      </c>
      <c r="K234" s="20">
        <v>263</v>
      </c>
      <c r="L234" s="20">
        <v>0</v>
      </c>
      <c r="M234" s="20">
        <f t="shared" si="11"/>
        <v>263</v>
      </c>
    </row>
    <row r="235" spans="2:13">
      <c r="B235" s="22"/>
      <c r="C235" s="22"/>
      <c r="D235" s="14" t="s">
        <v>297</v>
      </c>
      <c r="E235" s="20">
        <v>0</v>
      </c>
      <c r="F235" s="20">
        <v>0</v>
      </c>
      <c r="G235" s="20">
        <f t="shared" si="9"/>
        <v>0</v>
      </c>
      <c r="H235" s="20">
        <v>8734</v>
      </c>
      <c r="I235" s="20">
        <v>0</v>
      </c>
      <c r="J235" s="20">
        <f t="shared" si="10"/>
        <v>8734</v>
      </c>
      <c r="K235" s="20">
        <v>0</v>
      </c>
      <c r="L235" s="20">
        <v>0</v>
      </c>
      <c r="M235" s="20">
        <f t="shared" si="11"/>
        <v>0</v>
      </c>
    </row>
    <row r="236" spans="2:13">
      <c r="B236" s="22"/>
      <c r="C236" s="22"/>
      <c r="D236" s="14" t="s">
        <v>298</v>
      </c>
      <c r="E236" s="20">
        <v>0</v>
      </c>
      <c r="F236" s="20">
        <v>0</v>
      </c>
      <c r="G236" s="20">
        <f t="shared" si="9"/>
        <v>0</v>
      </c>
      <c r="H236" s="20">
        <v>1</v>
      </c>
      <c r="I236" s="20">
        <v>11320</v>
      </c>
      <c r="J236" s="20">
        <f t="shared" si="10"/>
        <v>11321</v>
      </c>
      <c r="K236" s="20">
        <v>0</v>
      </c>
      <c r="L236" s="20">
        <v>0</v>
      </c>
      <c r="M236" s="20">
        <f t="shared" si="11"/>
        <v>0</v>
      </c>
    </row>
    <row r="237" spans="2:13">
      <c r="B237" s="22"/>
      <c r="C237" s="22"/>
      <c r="D237" s="14" t="s">
        <v>299</v>
      </c>
      <c r="E237" s="20">
        <v>0</v>
      </c>
      <c r="F237" s="20">
        <v>0</v>
      </c>
      <c r="G237" s="20">
        <f t="shared" si="9"/>
        <v>0</v>
      </c>
      <c r="H237" s="20">
        <v>0</v>
      </c>
      <c r="I237" s="20">
        <v>0</v>
      </c>
      <c r="J237" s="20">
        <f t="shared" si="10"/>
        <v>0</v>
      </c>
      <c r="K237" s="20">
        <v>10993</v>
      </c>
      <c r="L237" s="20">
        <v>0</v>
      </c>
      <c r="M237" s="20">
        <f t="shared" si="11"/>
        <v>10993</v>
      </c>
    </row>
    <row r="238" spans="2:13">
      <c r="B238" s="23"/>
      <c r="C238" s="23"/>
      <c r="D238" s="14" t="s">
        <v>300</v>
      </c>
      <c r="E238" s="20">
        <v>0</v>
      </c>
      <c r="F238" s="20">
        <v>0</v>
      </c>
      <c r="G238" s="20">
        <f t="shared" si="9"/>
        <v>0</v>
      </c>
      <c r="H238" s="20">
        <v>0</v>
      </c>
      <c r="I238" s="20">
        <v>0</v>
      </c>
      <c r="J238" s="20">
        <f t="shared" si="10"/>
        <v>0</v>
      </c>
      <c r="K238" s="20">
        <v>0</v>
      </c>
      <c r="L238" s="20">
        <v>2647</v>
      </c>
      <c r="M238" s="20">
        <f t="shared" si="11"/>
        <v>2647</v>
      </c>
    </row>
    <row r="239" spans="2:13">
      <c r="B239" s="21" t="s">
        <v>89</v>
      </c>
      <c r="C239" s="21" t="s">
        <v>90</v>
      </c>
      <c r="D239" s="14" t="s">
        <v>301</v>
      </c>
      <c r="E239" s="20">
        <v>0</v>
      </c>
      <c r="F239" s="20">
        <v>20</v>
      </c>
      <c r="G239" s="20">
        <f t="shared" si="9"/>
        <v>20</v>
      </c>
      <c r="H239" s="20">
        <v>0</v>
      </c>
      <c r="I239" s="20">
        <v>0</v>
      </c>
      <c r="J239" s="20">
        <f t="shared" si="10"/>
        <v>0</v>
      </c>
      <c r="K239" s="20">
        <v>0</v>
      </c>
      <c r="L239" s="20">
        <v>0</v>
      </c>
      <c r="M239" s="20">
        <f t="shared" si="11"/>
        <v>0</v>
      </c>
    </row>
    <row r="240" spans="2:13">
      <c r="B240" s="22"/>
      <c r="C240" s="22"/>
      <c r="D240" s="14" t="s">
        <v>302</v>
      </c>
      <c r="E240" s="20">
        <v>839</v>
      </c>
      <c r="F240" s="20">
        <v>130</v>
      </c>
      <c r="G240" s="20">
        <f t="shared" si="9"/>
        <v>969</v>
      </c>
      <c r="H240" s="20">
        <v>0</v>
      </c>
      <c r="I240" s="20">
        <v>0</v>
      </c>
      <c r="J240" s="20">
        <f t="shared" si="10"/>
        <v>0</v>
      </c>
      <c r="K240" s="20">
        <v>0</v>
      </c>
      <c r="L240" s="20">
        <v>0</v>
      </c>
      <c r="M240" s="20">
        <f t="shared" si="11"/>
        <v>0</v>
      </c>
    </row>
    <row r="241" spans="2:13">
      <c r="B241" s="22"/>
      <c r="C241" s="22"/>
      <c r="D241" s="14" t="s">
        <v>303</v>
      </c>
      <c r="E241" s="20">
        <v>0</v>
      </c>
      <c r="F241" s="20">
        <v>18</v>
      </c>
      <c r="G241" s="20">
        <f t="shared" si="9"/>
        <v>18</v>
      </c>
      <c r="H241" s="20">
        <v>0</v>
      </c>
      <c r="I241" s="20">
        <v>0</v>
      </c>
      <c r="J241" s="20">
        <f t="shared" si="10"/>
        <v>0</v>
      </c>
      <c r="K241" s="20">
        <v>0</v>
      </c>
      <c r="L241" s="20">
        <v>0</v>
      </c>
      <c r="M241" s="20">
        <f t="shared" si="11"/>
        <v>0</v>
      </c>
    </row>
    <row r="242" spans="2:13">
      <c r="B242" s="22"/>
      <c r="C242" s="23"/>
      <c r="D242" s="14" t="s">
        <v>304</v>
      </c>
      <c r="E242" s="20">
        <v>0</v>
      </c>
      <c r="F242" s="20">
        <v>0</v>
      </c>
      <c r="G242" s="20">
        <f t="shared" si="9"/>
        <v>0</v>
      </c>
      <c r="H242" s="20">
        <v>0</v>
      </c>
      <c r="I242" s="20">
        <v>1945</v>
      </c>
      <c r="J242" s="20">
        <f t="shared" si="10"/>
        <v>1945</v>
      </c>
      <c r="K242" s="20">
        <v>0</v>
      </c>
      <c r="L242" s="20">
        <v>0</v>
      </c>
      <c r="M242" s="20">
        <f t="shared" si="11"/>
        <v>0</v>
      </c>
    </row>
    <row r="243" spans="2:13">
      <c r="B243" s="22"/>
      <c r="C243" s="21" t="s">
        <v>91</v>
      </c>
      <c r="D243" s="14" t="s">
        <v>305</v>
      </c>
      <c r="E243" s="20">
        <v>93</v>
      </c>
      <c r="F243" s="20">
        <v>5</v>
      </c>
      <c r="G243" s="20">
        <f t="shared" si="9"/>
        <v>98</v>
      </c>
      <c r="H243" s="20">
        <v>0</v>
      </c>
      <c r="I243" s="20">
        <v>0</v>
      </c>
      <c r="J243" s="20">
        <f t="shared" si="10"/>
        <v>0</v>
      </c>
      <c r="K243" s="20">
        <v>0</v>
      </c>
      <c r="L243" s="20">
        <v>0</v>
      </c>
      <c r="M243" s="20">
        <f t="shared" si="11"/>
        <v>0</v>
      </c>
    </row>
    <row r="244" spans="2:13">
      <c r="B244" s="22"/>
      <c r="C244" s="22"/>
      <c r="D244" s="14" t="s">
        <v>303</v>
      </c>
      <c r="E244" s="20">
        <v>52</v>
      </c>
      <c r="F244" s="20">
        <v>40</v>
      </c>
      <c r="G244" s="20">
        <f t="shared" si="9"/>
        <v>92</v>
      </c>
      <c r="H244" s="20">
        <v>0</v>
      </c>
      <c r="I244" s="20">
        <v>0</v>
      </c>
      <c r="J244" s="20">
        <f t="shared" si="10"/>
        <v>0</v>
      </c>
      <c r="K244" s="20">
        <v>0</v>
      </c>
      <c r="L244" s="20">
        <v>0</v>
      </c>
      <c r="M244" s="20">
        <f t="shared" si="11"/>
        <v>0</v>
      </c>
    </row>
    <row r="245" spans="2:13">
      <c r="B245" s="22"/>
      <c r="C245" s="22"/>
      <c r="D245" s="14" t="s">
        <v>306</v>
      </c>
      <c r="E245" s="20">
        <v>14</v>
      </c>
      <c r="F245" s="20">
        <v>13</v>
      </c>
      <c r="G245" s="20">
        <f t="shared" si="9"/>
        <v>27</v>
      </c>
      <c r="H245" s="20">
        <v>0</v>
      </c>
      <c r="I245" s="20">
        <v>0</v>
      </c>
      <c r="J245" s="20">
        <f t="shared" si="10"/>
        <v>0</v>
      </c>
      <c r="K245" s="20">
        <v>3</v>
      </c>
      <c r="L245" s="20">
        <v>4</v>
      </c>
      <c r="M245" s="20">
        <f t="shared" si="11"/>
        <v>7</v>
      </c>
    </row>
    <row r="246" spans="2:13">
      <c r="B246" s="22"/>
      <c r="C246" s="22"/>
      <c r="D246" s="14" t="s">
        <v>307</v>
      </c>
      <c r="E246" s="20">
        <v>48</v>
      </c>
      <c r="F246" s="20">
        <v>0</v>
      </c>
      <c r="G246" s="20">
        <f t="shared" si="9"/>
        <v>48</v>
      </c>
      <c r="H246" s="20">
        <v>0</v>
      </c>
      <c r="I246" s="20">
        <v>0</v>
      </c>
      <c r="J246" s="20">
        <f t="shared" si="10"/>
        <v>0</v>
      </c>
      <c r="K246" s="20">
        <v>0</v>
      </c>
      <c r="L246" s="20">
        <v>0</v>
      </c>
      <c r="M246" s="20">
        <f t="shared" si="11"/>
        <v>0</v>
      </c>
    </row>
    <row r="247" spans="2:13">
      <c r="B247" s="22"/>
      <c r="C247" s="23"/>
      <c r="D247" s="14" t="s">
        <v>308</v>
      </c>
      <c r="E247" s="20">
        <v>0</v>
      </c>
      <c r="F247" s="20">
        <v>0</v>
      </c>
      <c r="G247" s="20">
        <f t="shared" si="9"/>
        <v>0</v>
      </c>
      <c r="H247" s="20">
        <v>0</v>
      </c>
      <c r="I247" s="20">
        <v>2000</v>
      </c>
      <c r="J247" s="20">
        <f t="shared" si="10"/>
        <v>2000</v>
      </c>
      <c r="K247" s="20">
        <v>0</v>
      </c>
      <c r="L247" s="20">
        <v>0</v>
      </c>
      <c r="M247" s="20">
        <f t="shared" si="11"/>
        <v>0</v>
      </c>
    </row>
    <row r="248" spans="2:13">
      <c r="B248" s="22"/>
      <c r="C248" s="21" t="s">
        <v>92</v>
      </c>
      <c r="D248" s="14" t="s">
        <v>309</v>
      </c>
      <c r="E248" s="20">
        <v>0</v>
      </c>
      <c r="F248" s="20">
        <v>30</v>
      </c>
      <c r="G248" s="20">
        <f t="shared" si="9"/>
        <v>30</v>
      </c>
      <c r="H248" s="20">
        <v>0</v>
      </c>
      <c r="I248" s="20">
        <v>0</v>
      </c>
      <c r="J248" s="20">
        <f t="shared" si="10"/>
        <v>0</v>
      </c>
      <c r="K248" s="20">
        <v>0</v>
      </c>
      <c r="L248" s="20">
        <v>0</v>
      </c>
      <c r="M248" s="20">
        <f t="shared" si="11"/>
        <v>0</v>
      </c>
    </row>
    <row r="249" spans="2:13">
      <c r="B249" s="22"/>
      <c r="C249" s="22"/>
      <c r="D249" s="14" t="s">
        <v>303</v>
      </c>
      <c r="E249" s="20">
        <v>40</v>
      </c>
      <c r="F249" s="20">
        <v>36</v>
      </c>
      <c r="G249" s="20">
        <f t="shared" si="9"/>
        <v>76</v>
      </c>
      <c r="H249" s="20">
        <v>0</v>
      </c>
      <c r="I249" s="20">
        <v>0</v>
      </c>
      <c r="J249" s="20">
        <f t="shared" si="10"/>
        <v>0</v>
      </c>
      <c r="K249" s="20">
        <v>0</v>
      </c>
      <c r="L249" s="20">
        <v>0</v>
      </c>
      <c r="M249" s="20">
        <f t="shared" si="11"/>
        <v>0</v>
      </c>
    </row>
    <row r="250" spans="2:13">
      <c r="B250" s="22"/>
      <c r="C250" s="22"/>
      <c r="D250" s="14" t="s">
        <v>310</v>
      </c>
      <c r="E250" s="20">
        <v>75</v>
      </c>
      <c r="F250" s="20">
        <v>25</v>
      </c>
      <c r="G250" s="20">
        <f t="shared" si="9"/>
        <v>100</v>
      </c>
      <c r="H250" s="20">
        <v>0</v>
      </c>
      <c r="I250" s="20">
        <v>0</v>
      </c>
      <c r="J250" s="20">
        <f t="shared" si="10"/>
        <v>0</v>
      </c>
      <c r="K250" s="20">
        <v>0</v>
      </c>
      <c r="L250" s="20">
        <v>0</v>
      </c>
      <c r="M250" s="20">
        <f t="shared" si="11"/>
        <v>0</v>
      </c>
    </row>
    <row r="251" spans="2:13">
      <c r="B251" s="22"/>
      <c r="C251" s="22"/>
      <c r="D251" s="14" t="s">
        <v>311</v>
      </c>
      <c r="E251" s="20">
        <v>0</v>
      </c>
      <c r="F251" s="20">
        <v>0</v>
      </c>
      <c r="G251" s="20">
        <f t="shared" si="9"/>
        <v>0</v>
      </c>
      <c r="H251" s="20">
        <v>0</v>
      </c>
      <c r="I251" s="20">
        <v>0</v>
      </c>
      <c r="J251" s="20">
        <f t="shared" si="10"/>
        <v>0</v>
      </c>
      <c r="K251" s="20">
        <v>40</v>
      </c>
      <c r="L251" s="20">
        <v>0</v>
      </c>
      <c r="M251" s="20">
        <f t="shared" si="11"/>
        <v>40</v>
      </c>
    </row>
    <row r="252" spans="2:13">
      <c r="B252" s="22"/>
      <c r="C252" s="22"/>
      <c r="D252" s="14" t="s">
        <v>312</v>
      </c>
      <c r="E252" s="20">
        <v>14</v>
      </c>
      <c r="F252" s="20">
        <v>20</v>
      </c>
      <c r="G252" s="20">
        <f t="shared" si="9"/>
        <v>34</v>
      </c>
      <c r="H252" s="20">
        <v>0</v>
      </c>
      <c r="I252" s="20">
        <v>0</v>
      </c>
      <c r="J252" s="20">
        <f t="shared" si="10"/>
        <v>0</v>
      </c>
      <c r="K252" s="20">
        <v>12</v>
      </c>
      <c r="L252" s="20">
        <v>4</v>
      </c>
      <c r="M252" s="20">
        <f t="shared" si="11"/>
        <v>16</v>
      </c>
    </row>
    <row r="253" spans="2:13">
      <c r="B253" s="22"/>
      <c r="C253" s="22"/>
      <c r="D253" s="14" t="s">
        <v>313</v>
      </c>
      <c r="E253" s="20">
        <v>0</v>
      </c>
      <c r="F253" s="20">
        <v>0</v>
      </c>
      <c r="G253" s="20">
        <f t="shared" si="9"/>
        <v>0</v>
      </c>
      <c r="H253" s="20">
        <v>0</v>
      </c>
      <c r="I253" s="20">
        <v>2000</v>
      </c>
      <c r="J253" s="20">
        <f t="shared" si="10"/>
        <v>2000</v>
      </c>
      <c r="K253" s="20">
        <v>0</v>
      </c>
      <c r="L253" s="20">
        <v>0</v>
      </c>
      <c r="M253" s="20">
        <f t="shared" si="11"/>
        <v>0</v>
      </c>
    </row>
    <row r="254" spans="2:13">
      <c r="B254" s="22"/>
      <c r="C254" s="22"/>
      <c r="D254" s="14" t="s">
        <v>314</v>
      </c>
      <c r="E254" s="20">
        <v>0</v>
      </c>
      <c r="F254" s="20">
        <v>0</v>
      </c>
      <c r="G254" s="20">
        <f t="shared" si="9"/>
        <v>0</v>
      </c>
      <c r="H254" s="20">
        <v>0</v>
      </c>
      <c r="I254" s="20">
        <v>92</v>
      </c>
      <c r="J254" s="20">
        <f t="shared" si="10"/>
        <v>92</v>
      </c>
      <c r="K254" s="20">
        <v>0</v>
      </c>
      <c r="L254" s="20">
        <v>0</v>
      </c>
      <c r="M254" s="20">
        <f t="shared" si="11"/>
        <v>0</v>
      </c>
    </row>
    <row r="255" spans="2:13">
      <c r="B255" s="22"/>
      <c r="C255" s="22"/>
      <c r="D255" s="14" t="s">
        <v>315</v>
      </c>
      <c r="E255" s="20">
        <v>0</v>
      </c>
      <c r="F255" s="20">
        <v>0</v>
      </c>
      <c r="G255" s="20">
        <f t="shared" si="9"/>
        <v>0</v>
      </c>
      <c r="H255" s="20">
        <v>0</v>
      </c>
      <c r="I255" s="20">
        <v>25</v>
      </c>
      <c r="J255" s="20">
        <f t="shared" si="10"/>
        <v>25</v>
      </c>
      <c r="K255" s="20">
        <v>0</v>
      </c>
      <c r="L255" s="20">
        <v>0</v>
      </c>
      <c r="M255" s="20">
        <f t="shared" si="11"/>
        <v>0</v>
      </c>
    </row>
    <row r="256" spans="2:13">
      <c r="B256" s="22"/>
      <c r="C256" s="22"/>
      <c r="D256" s="14" t="s">
        <v>304</v>
      </c>
      <c r="E256" s="20">
        <v>0</v>
      </c>
      <c r="F256" s="20">
        <v>0</v>
      </c>
      <c r="G256" s="20">
        <f t="shared" si="9"/>
        <v>0</v>
      </c>
      <c r="H256" s="20">
        <v>0</v>
      </c>
      <c r="I256" s="20">
        <v>2055</v>
      </c>
      <c r="J256" s="20">
        <f t="shared" si="10"/>
        <v>2055</v>
      </c>
      <c r="K256" s="20">
        <v>0</v>
      </c>
      <c r="L256" s="20">
        <v>0</v>
      </c>
      <c r="M256" s="20">
        <f t="shared" si="11"/>
        <v>0</v>
      </c>
    </row>
    <row r="257" spans="2:13">
      <c r="B257" s="22"/>
      <c r="C257" s="22"/>
      <c r="D257" s="14" t="s">
        <v>316</v>
      </c>
      <c r="E257" s="20">
        <v>0</v>
      </c>
      <c r="F257" s="20">
        <v>0</v>
      </c>
      <c r="G257" s="20">
        <f t="shared" si="9"/>
        <v>0</v>
      </c>
      <c r="H257" s="20">
        <v>0</v>
      </c>
      <c r="I257" s="20">
        <v>0</v>
      </c>
      <c r="J257" s="20">
        <f t="shared" si="10"/>
        <v>0</v>
      </c>
      <c r="K257" s="20">
        <v>0</v>
      </c>
      <c r="L257" s="20">
        <v>1221</v>
      </c>
      <c r="M257" s="20">
        <f t="shared" si="11"/>
        <v>1221</v>
      </c>
    </row>
    <row r="258" spans="2:13">
      <c r="B258" s="22"/>
      <c r="C258" s="23"/>
      <c r="D258" s="14" t="s">
        <v>317</v>
      </c>
      <c r="E258" s="20">
        <v>25</v>
      </c>
      <c r="F258" s="20">
        <v>0</v>
      </c>
      <c r="G258" s="20">
        <f t="shared" si="9"/>
        <v>25</v>
      </c>
      <c r="H258" s="20">
        <v>0</v>
      </c>
      <c r="I258" s="20">
        <v>0</v>
      </c>
      <c r="J258" s="20">
        <f t="shared" si="10"/>
        <v>0</v>
      </c>
      <c r="K258" s="20">
        <v>0</v>
      </c>
      <c r="L258" s="20">
        <v>0</v>
      </c>
      <c r="M258" s="20">
        <f t="shared" si="11"/>
        <v>0</v>
      </c>
    </row>
    <row r="259" spans="2:13">
      <c r="B259" s="22"/>
      <c r="C259" s="14" t="s">
        <v>93</v>
      </c>
      <c r="D259" s="14" t="s">
        <v>318</v>
      </c>
      <c r="E259" s="20">
        <v>0</v>
      </c>
      <c r="F259" s="20">
        <v>0</v>
      </c>
      <c r="G259" s="20">
        <f t="shared" si="9"/>
        <v>0</v>
      </c>
      <c r="H259" s="20">
        <v>0</v>
      </c>
      <c r="I259" s="20">
        <v>154</v>
      </c>
      <c r="J259" s="20">
        <f t="shared" si="10"/>
        <v>154</v>
      </c>
      <c r="K259" s="20">
        <v>0</v>
      </c>
      <c r="L259" s="20">
        <v>0</v>
      </c>
      <c r="M259" s="20">
        <f t="shared" si="11"/>
        <v>0</v>
      </c>
    </row>
    <row r="260" spans="2:13">
      <c r="B260" s="22"/>
      <c r="C260" s="21" t="s">
        <v>94</v>
      </c>
      <c r="D260" s="14" t="s">
        <v>303</v>
      </c>
      <c r="E260" s="20">
        <v>69</v>
      </c>
      <c r="F260" s="20">
        <v>0</v>
      </c>
      <c r="G260" s="20">
        <f t="shared" si="9"/>
        <v>69</v>
      </c>
      <c r="H260" s="20">
        <v>0</v>
      </c>
      <c r="I260" s="20">
        <v>0</v>
      </c>
      <c r="J260" s="20">
        <f t="shared" si="10"/>
        <v>0</v>
      </c>
      <c r="K260" s="20">
        <v>0</v>
      </c>
      <c r="L260" s="20">
        <v>0</v>
      </c>
      <c r="M260" s="20">
        <f t="shared" si="11"/>
        <v>0</v>
      </c>
    </row>
    <row r="261" spans="2:13">
      <c r="B261" s="22"/>
      <c r="C261" s="22"/>
      <c r="D261" s="14" t="s">
        <v>319</v>
      </c>
      <c r="E261" s="20">
        <v>18</v>
      </c>
      <c r="F261" s="20">
        <v>0</v>
      </c>
      <c r="G261" s="20">
        <f t="shared" si="9"/>
        <v>18</v>
      </c>
      <c r="H261" s="20">
        <v>0</v>
      </c>
      <c r="I261" s="20">
        <v>0</v>
      </c>
      <c r="J261" s="20">
        <f t="shared" si="10"/>
        <v>0</v>
      </c>
      <c r="K261" s="20">
        <v>12</v>
      </c>
      <c r="L261" s="20">
        <v>0</v>
      </c>
      <c r="M261" s="20">
        <f t="shared" si="11"/>
        <v>12</v>
      </c>
    </row>
    <row r="262" spans="2:13">
      <c r="B262" s="22"/>
      <c r="C262" s="23"/>
      <c r="D262" s="14" t="s">
        <v>320</v>
      </c>
      <c r="E262" s="20">
        <v>50</v>
      </c>
      <c r="F262" s="20">
        <v>0</v>
      </c>
      <c r="G262" s="20">
        <f t="shared" ref="G262:G279" si="12">SUM(E262:F262)</f>
        <v>50</v>
      </c>
      <c r="H262" s="20">
        <v>0</v>
      </c>
      <c r="I262" s="20">
        <v>0</v>
      </c>
      <c r="J262" s="20">
        <f t="shared" ref="J262:J279" si="13">SUM(H262:I262)</f>
        <v>0</v>
      </c>
      <c r="K262" s="20">
        <v>0</v>
      </c>
      <c r="L262" s="20">
        <v>0</v>
      </c>
      <c r="M262" s="20">
        <f t="shared" ref="M262:M279" si="14">SUM(K262:L262)</f>
        <v>0</v>
      </c>
    </row>
    <row r="263" spans="2:13">
      <c r="B263" s="23"/>
      <c r="C263" s="14" t="s">
        <v>95</v>
      </c>
      <c r="D263" s="14" t="s">
        <v>321</v>
      </c>
      <c r="E263" s="20">
        <v>0</v>
      </c>
      <c r="F263" s="20">
        <v>0</v>
      </c>
      <c r="G263" s="20">
        <f t="shared" si="12"/>
        <v>0</v>
      </c>
      <c r="H263" s="20">
        <v>0</v>
      </c>
      <c r="I263" s="20">
        <v>0</v>
      </c>
      <c r="J263" s="20">
        <f t="shared" si="13"/>
        <v>0</v>
      </c>
      <c r="K263" s="20">
        <v>0</v>
      </c>
      <c r="L263" s="20">
        <v>200</v>
      </c>
      <c r="M263" s="20">
        <f t="shared" si="14"/>
        <v>200</v>
      </c>
    </row>
    <row r="264" spans="2:13">
      <c r="B264" s="21" t="s">
        <v>96</v>
      </c>
      <c r="C264" s="21" t="s">
        <v>97</v>
      </c>
      <c r="D264" s="14" t="s">
        <v>322</v>
      </c>
      <c r="E264" s="20">
        <v>18</v>
      </c>
      <c r="F264" s="20">
        <v>0</v>
      </c>
      <c r="G264" s="20">
        <f t="shared" si="12"/>
        <v>18</v>
      </c>
      <c r="H264" s="20">
        <v>0</v>
      </c>
      <c r="I264" s="20">
        <v>0</v>
      </c>
      <c r="J264" s="20">
        <f t="shared" si="13"/>
        <v>0</v>
      </c>
      <c r="K264" s="20">
        <v>0</v>
      </c>
      <c r="L264" s="20">
        <v>0</v>
      </c>
      <c r="M264" s="20">
        <f t="shared" si="14"/>
        <v>0</v>
      </c>
    </row>
    <row r="265" spans="2:13">
      <c r="B265" s="22"/>
      <c r="C265" s="22"/>
      <c r="D265" s="14" t="s">
        <v>323</v>
      </c>
      <c r="E265" s="20">
        <v>14</v>
      </c>
      <c r="F265" s="20">
        <v>0</v>
      </c>
      <c r="G265" s="20">
        <f t="shared" si="12"/>
        <v>14</v>
      </c>
      <c r="H265" s="20">
        <v>0</v>
      </c>
      <c r="I265" s="20">
        <v>0</v>
      </c>
      <c r="J265" s="20">
        <f t="shared" si="13"/>
        <v>0</v>
      </c>
      <c r="K265" s="20">
        <v>0</v>
      </c>
      <c r="L265" s="20">
        <v>0</v>
      </c>
      <c r="M265" s="20">
        <f t="shared" si="14"/>
        <v>0</v>
      </c>
    </row>
    <row r="266" spans="2:13">
      <c r="B266" s="22"/>
      <c r="C266" s="22"/>
      <c r="D266" s="14" t="s">
        <v>324</v>
      </c>
      <c r="E266" s="20">
        <v>0</v>
      </c>
      <c r="F266" s="20">
        <v>0</v>
      </c>
      <c r="G266" s="20">
        <f t="shared" si="12"/>
        <v>0</v>
      </c>
      <c r="H266" s="20">
        <v>4440</v>
      </c>
      <c r="I266" s="20">
        <v>32</v>
      </c>
      <c r="J266" s="20">
        <f t="shared" si="13"/>
        <v>4472</v>
      </c>
      <c r="K266" s="20">
        <v>0</v>
      </c>
      <c r="L266" s="20">
        <v>0</v>
      </c>
      <c r="M266" s="20">
        <f t="shared" si="14"/>
        <v>0</v>
      </c>
    </row>
    <row r="267" spans="2:13">
      <c r="B267" s="22"/>
      <c r="C267" s="22"/>
      <c r="D267" s="14" t="s">
        <v>325</v>
      </c>
      <c r="E267" s="20">
        <v>0</v>
      </c>
      <c r="F267" s="20">
        <v>0</v>
      </c>
      <c r="G267" s="20">
        <f t="shared" si="12"/>
        <v>0</v>
      </c>
      <c r="H267" s="20">
        <v>0</v>
      </c>
      <c r="I267" s="20">
        <v>1071</v>
      </c>
      <c r="J267" s="20">
        <f t="shared" si="13"/>
        <v>1071</v>
      </c>
      <c r="K267" s="20">
        <v>0</v>
      </c>
      <c r="L267" s="20">
        <v>0</v>
      </c>
      <c r="M267" s="20">
        <f t="shared" si="14"/>
        <v>0</v>
      </c>
    </row>
    <row r="268" spans="2:13">
      <c r="B268" s="22"/>
      <c r="C268" s="22"/>
      <c r="D268" s="14" t="s">
        <v>326</v>
      </c>
      <c r="E268" s="20">
        <v>0</v>
      </c>
      <c r="F268" s="20">
        <v>0</v>
      </c>
      <c r="G268" s="20">
        <f t="shared" si="12"/>
        <v>0</v>
      </c>
      <c r="H268" s="20">
        <v>1</v>
      </c>
      <c r="I268" s="20">
        <v>6417</v>
      </c>
      <c r="J268" s="20">
        <f t="shared" si="13"/>
        <v>6418</v>
      </c>
      <c r="K268" s="20">
        <v>0</v>
      </c>
      <c r="L268" s="20">
        <v>0</v>
      </c>
      <c r="M268" s="20">
        <f t="shared" si="14"/>
        <v>0</v>
      </c>
    </row>
    <row r="269" spans="2:13">
      <c r="B269" s="22"/>
      <c r="C269" s="22"/>
      <c r="D269" s="14" t="s">
        <v>327</v>
      </c>
      <c r="E269" s="20">
        <v>0</v>
      </c>
      <c r="F269" s="20">
        <v>0</v>
      </c>
      <c r="G269" s="20">
        <f t="shared" si="12"/>
        <v>0</v>
      </c>
      <c r="H269" s="20">
        <v>0</v>
      </c>
      <c r="I269" s="20">
        <v>2615</v>
      </c>
      <c r="J269" s="20">
        <f t="shared" si="13"/>
        <v>2615</v>
      </c>
      <c r="K269" s="20">
        <v>0</v>
      </c>
      <c r="L269" s="20">
        <v>0</v>
      </c>
      <c r="M269" s="20">
        <f t="shared" si="14"/>
        <v>0</v>
      </c>
    </row>
    <row r="270" spans="2:13">
      <c r="B270" s="23"/>
      <c r="C270" s="23"/>
      <c r="D270" s="14" t="s">
        <v>328</v>
      </c>
      <c r="E270" s="20">
        <v>0</v>
      </c>
      <c r="F270" s="20">
        <v>0</v>
      </c>
      <c r="G270" s="20">
        <f t="shared" si="12"/>
        <v>0</v>
      </c>
      <c r="H270" s="20">
        <v>0</v>
      </c>
      <c r="I270" s="20">
        <v>10295</v>
      </c>
      <c r="J270" s="20">
        <f t="shared" si="13"/>
        <v>10295</v>
      </c>
      <c r="K270" s="20">
        <v>0</v>
      </c>
      <c r="L270" s="20">
        <v>0</v>
      </c>
      <c r="M270" s="20">
        <f t="shared" si="14"/>
        <v>0</v>
      </c>
    </row>
    <row r="271" spans="2:13">
      <c r="B271" s="14" t="s">
        <v>98</v>
      </c>
      <c r="C271" s="14" t="s">
        <v>99</v>
      </c>
      <c r="D271" s="14" t="s">
        <v>329</v>
      </c>
      <c r="E271" s="20">
        <v>162</v>
      </c>
      <c r="F271" s="20">
        <v>0</v>
      </c>
      <c r="G271" s="20">
        <f t="shared" si="12"/>
        <v>162</v>
      </c>
      <c r="H271" s="20">
        <v>0</v>
      </c>
      <c r="I271" s="20">
        <v>0</v>
      </c>
      <c r="J271" s="20">
        <f t="shared" si="13"/>
        <v>0</v>
      </c>
      <c r="K271" s="20">
        <v>0</v>
      </c>
      <c r="L271" s="20">
        <v>0</v>
      </c>
      <c r="M271" s="20">
        <f t="shared" si="14"/>
        <v>0</v>
      </c>
    </row>
    <row r="272" spans="2:13">
      <c r="B272" s="21" t="s">
        <v>100</v>
      </c>
      <c r="C272" s="21" t="s">
        <v>100</v>
      </c>
      <c r="D272" s="14" t="s">
        <v>330</v>
      </c>
      <c r="E272" s="20">
        <v>10</v>
      </c>
      <c r="F272" s="20">
        <v>0</v>
      </c>
      <c r="G272" s="20">
        <f t="shared" si="12"/>
        <v>10</v>
      </c>
      <c r="H272" s="20">
        <v>0</v>
      </c>
      <c r="I272" s="20">
        <v>0</v>
      </c>
      <c r="J272" s="20">
        <f t="shared" si="13"/>
        <v>0</v>
      </c>
      <c r="K272" s="20">
        <v>0</v>
      </c>
      <c r="L272" s="20">
        <v>0</v>
      </c>
      <c r="M272" s="20">
        <f t="shared" si="14"/>
        <v>0</v>
      </c>
    </row>
    <row r="273" spans="2:13">
      <c r="B273" s="23"/>
      <c r="C273" s="23"/>
      <c r="D273" s="14" t="s">
        <v>331</v>
      </c>
      <c r="E273" s="20">
        <v>198</v>
      </c>
      <c r="F273" s="20">
        <v>167</v>
      </c>
      <c r="G273" s="20">
        <f t="shared" si="12"/>
        <v>365</v>
      </c>
      <c r="H273" s="20">
        <v>0</v>
      </c>
      <c r="I273" s="20">
        <v>0</v>
      </c>
      <c r="J273" s="20">
        <f t="shared" si="13"/>
        <v>0</v>
      </c>
      <c r="K273" s="20">
        <v>0</v>
      </c>
      <c r="L273" s="20">
        <v>0</v>
      </c>
      <c r="M273" s="20">
        <f t="shared" si="14"/>
        <v>0</v>
      </c>
    </row>
    <row r="274" spans="2:13">
      <c r="B274" s="21" t="s">
        <v>101</v>
      </c>
      <c r="C274" s="21" t="s">
        <v>102</v>
      </c>
      <c r="D274" s="14" t="s">
        <v>332</v>
      </c>
      <c r="E274" s="20">
        <v>0</v>
      </c>
      <c r="F274" s="20">
        <v>0</v>
      </c>
      <c r="G274" s="20">
        <f t="shared" si="12"/>
        <v>0</v>
      </c>
      <c r="H274" s="20">
        <v>3</v>
      </c>
      <c r="I274" s="20">
        <v>157</v>
      </c>
      <c r="J274" s="20">
        <f t="shared" si="13"/>
        <v>160</v>
      </c>
      <c r="K274" s="20">
        <v>0</v>
      </c>
      <c r="L274" s="20">
        <v>0</v>
      </c>
      <c r="M274" s="20">
        <f t="shared" si="14"/>
        <v>0</v>
      </c>
    </row>
    <row r="275" spans="2:13">
      <c r="B275" s="22"/>
      <c r="C275" s="23"/>
      <c r="D275" s="14" t="s">
        <v>99</v>
      </c>
      <c r="E275" s="20">
        <v>0</v>
      </c>
      <c r="F275" s="20">
        <v>249</v>
      </c>
      <c r="G275" s="20">
        <f t="shared" si="12"/>
        <v>249</v>
      </c>
      <c r="H275" s="20">
        <v>0</v>
      </c>
      <c r="I275" s="20">
        <v>0</v>
      </c>
      <c r="J275" s="20">
        <f t="shared" si="13"/>
        <v>0</v>
      </c>
      <c r="K275" s="20">
        <v>0</v>
      </c>
      <c r="L275" s="20">
        <v>0</v>
      </c>
      <c r="M275" s="20">
        <f t="shared" si="14"/>
        <v>0</v>
      </c>
    </row>
    <row r="276" spans="2:13">
      <c r="B276" s="22"/>
      <c r="C276" s="21" t="s">
        <v>103</v>
      </c>
      <c r="D276" s="14" t="s">
        <v>333</v>
      </c>
      <c r="E276" s="20">
        <v>11</v>
      </c>
      <c r="F276" s="20">
        <v>8</v>
      </c>
      <c r="G276" s="20">
        <f t="shared" si="12"/>
        <v>19</v>
      </c>
      <c r="H276" s="20">
        <v>0</v>
      </c>
      <c r="I276" s="20">
        <v>0</v>
      </c>
      <c r="J276" s="20">
        <f t="shared" si="13"/>
        <v>0</v>
      </c>
      <c r="K276" s="20">
        <v>0</v>
      </c>
      <c r="L276" s="20">
        <v>0</v>
      </c>
      <c r="M276" s="20">
        <f t="shared" si="14"/>
        <v>0</v>
      </c>
    </row>
    <row r="277" spans="2:13">
      <c r="B277" s="22"/>
      <c r="C277" s="22"/>
      <c r="D277" s="14" t="s">
        <v>334</v>
      </c>
      <c r="E277" s="20">
        <v>0</v>
      </c>
      <c r="F277" s="20">
        <v>0</v>
      </c>
      <c r="G277" s="20">
        <f t="shared" si="12"/>
        <v>0</v>
      </c>
      <c r="H277" s="20">
        <v>0</v>
      </c>
      <c r="I277" s="20">
        <v>241</v>
      </c>
      <c r="J277" s="20">
        <f t="shared" si="13"/>
        <v>241</v>
      </c>
      <c r="K277" s="20">
        <v>0</v>
      </c>
      <c r="L277" s="20">
        <v>31</v>
      </c>
      <c r="M277" s="20">
        <f t="shared" si="14"/>
        <v>31</v>
      </c>
    </row>
    <row r="278" spans="2:13">
      <c r="B278" s="22"/>
      <c r="C278" s="22"/>
      <c r="D278" s="14" t="s">
        <v>332</v>
      </c>
      <c r="E278" s="20">
        <v>0</v>
      </c>
      <c r="F278" s="20">
        <v>0</v>
      </c>
      <c r="G278" s="20">
        <f t="shared" si="12"/>
        <v>0</v>
      </c>
      <c r="H278" s="20">
        <v>2</v>
      </c>
      <c r="I278" s="20">
        <v>333</v>
      </c>
      <c r="J278" s="20">
        <f t="shared" si="13"/>
        <v>335</v>
      </c>
      <c r="K278" s="20">
        <v>0</v>
      </c>
      <c r="L278" s="20">
        <v>0</v>
      </c>
      <c r="M278" s="20">
        <f t="shared" si="14"/>
        <v>0</v>
      </c>
    </row>
    <row r="279" spans="2:13">
      <c r="B279" s="23"/>
      <c r="C279" s="23"/>
      <c r="D279" s="14" t="s">
        <v>335</v>
      </c>
      <c r="E279" s="20">
        <v>0</v>
      </c>
      <c r="F279" s="20">
        <v>0</v>
      </c>
      <c r="G279" s="20">
        <f t="shared" si="12"/>
        <v>0</v>
      </c>
      <c r="H279" s="20">
        <v>0</v>
      </c>
      <c r="I279" s="20">
        <v>44</v>
      </c>
      <c r="J279" s="20">
        <f t="shared" si="13"/>
        <v>44</v>
      </c>
      <c r="K279" s="20">
        <v>0</v>
      </c>
      <c r="L279" s="20">
        <v>0</v>
      </c>
      <c r="M279" s="20">
        <f t="shared" si="14"/>
        <v>0</v>
      </c>
    </row>
  </sheetData>
  <mergeCells count="48">
    <mergeCell ref="B5:B24"/>
    <mergeCell ref="B25:B43"/>
    <mergeCell ref="E2:M2"/>
    <mergeCell ref="E3:G3"/>
    <mergeCell ref="H3:J3"/>
    <mergeCell ref="K3:M3"/>
    <mergeCell ref="C6:C24"/>
    <mergeCell ref="B163:B179"/>
    <mergeCell ref="C164:C179"/>
    <mergeCell ref="C27:C42"/>
    <mergeCell ref="B44:B53"/>
    <mergeCell ref="C44:C53"/>
    <mergeCell ref="B54:B65"/>
    <mergeCell ref="C55:C65"/>
    <mergeCell ref="B66:B133"/>
    <mergeCell ref="C67:C116"/>
    <mergeCell ref="C117:C123"/>
    <mergeCell ref="C125:C133"/>
    <mergeCell ref="B134:B162"/>
    <mergeCell ref="C134:C138"/>
    <mergeCell ref="C139:C150"/>
    <mergeCell ref="C151:C160"/>
    <mergeCell ref="C161:C162"/>
    <mergeCell ref="B180:B192"/>
    <mergeCell ref="C180:C182"/>
    <mergeCell ref="C183:C188"/>
    <mergeCell ref="C189:C192"/>
    <mergeCell ref="B193:B206"/>
    <mergeCell ref="C193:C198"/>
    <mergeCell ref="C199:C206"/>
    <mergeCell ref="B207:B225"/>
    <mergeCell ref="C207:C210"/>
    <mergeCell ref="C211:C224"/>
    <mergeCell ref="B226:B238"/>
    <mergeCell ref="C226:C229"/>
    <mergeCell ref="C230:C238"/>
    <mergeCell ref="B274:B279"/>
    <mergeCell ref="C274:C275"/>
    <mergeCell ref="C276:C279"/>
    <mergeCell ref="C272:C273"/>
    <mergeCell ref="C264:C270"/>
    <mergeCell ref="C243:C247"/>
    <mergeCell ref="C239:C242"/>
    <mergeCell ref="B239:B263"/>
    <mergeCell ref="B264:B270"/>
    <mergeCell ref="B272:B273"/>
    <mergeCell ref="C260:C262"/>
    <mergeCell ref="C248:C258"/>
  </mergeCells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A2F38F024E27E4882B8488722D0246E" ma:contentTypeVersion="22" ma:contentTypeDescription="새 문서를 만듭니다." ma:contentTypeScope="" ma:versionID="7ef12650fe7c5f3afb8533a037ca32a7">
  <xsd:schema xmlns:xsd="http://www.w3.org/2001/XMLSchema" xmlns:xs="http://www.w3.org/2001/XMLSchema" xmlns:p="http://schemas.microsoft.com/office/2006/metadata/properties" xmlns:ns2="8be326ae-424e-43e3-89c5-a5a3d72d0845" xmlns:ns3="774832a9-1447-4b9b-918d-59376d81c5bd" targetNamespace="http://schemas.microsoft.com/office/2006/metadata/properties" ma:root="true" ma:fieldsID="245d9570002110f73928d6b57a7b6766" ns2:_="" ns3:_="">
    <xsd:import namespace="8be326ae-424e-43e3-89c5-a5a3d72d0845"/>
    <xsd:import namespace="774832a9-1447-4b9b-918d-59376d81c5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DateTaken" minOccurs="0"/>
                <xsd:element ref="ns2:memo" minOccurs="0"/>
                <xsd:element ref="ns2:MediaServiceObjectDetectorVersions" minOccurs="0"/>
                <xsd:element ref="ns2:_xc0dd__xc131__xb0a0__xc9dc_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326ae-424e-43e3-89c5-a5a3d72d08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" ma:index="10" nillable="true" ma:displayName="description" ma:description="simple description" ma:format="Dropdown" ma:internalName="description">
      <xsd:simpleType>
        <xsd:restriction base="dms:Text">
          <xsd:maxLength value="255"/>
        </xsd:restriction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6f833a81-9511-4c57-b568-e9df9f7c52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mo" ma:index="24" nillable="true" ma:displayName="memo" ma:format="Dropdown" ma:internalName="memo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xc0dd__xc131__xb0a0__xc9dc_" ma:index="26" nillable="true" ma:displayName="생성날짜" ma:format="DateOnly" ma:internalName="_xc0dd__xc131__xb0a0__xc9dc_">
      <xsd:simpleType>
        <xsd:restriction base="dms:DateTim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832a9-1447-4b9b-918d-59376d81c5b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03d7a11-1664-4243-aa19-1e2e17f64b63}" ma:internalName="TaxCatchAll" ma:showField="CatchAllData" ma:web="774832a9-1447-4b9b-918d-59376d81c5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4832a9-1447-4b9b-918d-59376d81c5bd" xsi:nil="true"/>
    <description xmlns="8be326ae-424e-43e3-89c5-a5a3d72d0845" xsi:nil="true"/>
    <lcf76f155ced4ddcb4097134ff3c332f xmlns="8be326ae-424e-43e3-89c5-a5a3d72d0845">
      <Terms xmlns="http://schemas.microsoft.com/office/infopath/2007/PartnerControls"/>
    </lcf76f155ced4ddcb4097134ff3c332f>
    <_xc0dd__xc131__xb0a0__xc9dc_ xmlns="8be326ae-424e-43e3-89c5-a5a3d72d0845" xsi:nil="true"/>
    <memo xmlns="8be326ae-424e-43e3-89c5-a5a3d72d08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A97E5C-03B1-4514-A93E-38B35C388572}"/>
</file>

<file path=customXml/itemProps2.xml><?xml version="1.0" encoding="utf-8"?>
<ds:datastoreItem xmlns:ds="http://schemas.openxmlformats.org/officeDocument/2006/customXml" ds:itemID="{D8B36927-1C65-42E4-9B99-A6AD324924C7}"/>
</file>

<file path=customXml/itemProps3.xml><?xml version="1.0" encoding="utf-8"?>
<ds:datastoreItem xmlns:ds="http://schemas.openxmlformats.org/officeDocument/2006/customXml" ds:itemID="{DA20905F-3AC7-417B-9F05-EB293F329C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김덕기</cp:lastModifiedBy>
  <cp:revision/>
  <dcterms:created xsi:type="dcterms:W3CDTF">2026-01-12T03:07:06Z</dcterms:created>
  <dcterms:modified xsi:type="dcterms:W3CDTF">2026-05-31T06:19:46Z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0x010100FA2F38F024E27E4882B8488722D0246E</vt:lpwstr>
  </property>
  <property fmtid="{D5CDD505-2E9C-101B-9397-08002B2CF9AE}" pid="3" name="MediaServiceImageTags">
    <vt:lpwstr/>
  </property>
</Properties>
</file>